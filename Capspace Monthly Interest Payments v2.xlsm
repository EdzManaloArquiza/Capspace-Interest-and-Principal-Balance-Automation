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8FFAA0CE-C43B-4319-B092-47588848E715}" xr6:coauthVersionLast="47" xr6:coauthVersionMax="47" xr10:uidLastSave="{00000000-0000-0000-0000-000000000000}"/>
  <bookViews>
    <workbookView xWindow="-108" yWindow="-108" windowWidth="23256" windowHeight="12576" activeTab="3" xr2:uid="{91866391-70AB-466B-BFEA-1C4083500074}"/>
  </bookViews>
  <sheets>
    <sheet name="Xero Contacts" sheetId="26" r:id="rId1"/>
    <sheet name="Temp" sheetId="31" r:id="rId2"/>
    <sheet name="Payee" sheetId="2" r:id="rId3"/>
    <sheet name="CPDF" sheetId="28" r:id="rId4"/>
    <sheet name="CDLOT" sheetId="29" r:id="rId5"/>
    <sheet name="CDLOT2" sheetId="30" r:id="rId6"/>
  </sheets>
  <functionGroups builtInGroupCount="19"/>
  <definedNames>
    <definedName name="_xlnm._FilterDatabase" localSheetId="3" hidden="1">CPDF!$A$1:$D$112</definedName>
    <definedName name="_xlnm._FilterDatabase" localSheetId="2" hidden="1">Payee!$A$2:$A$89</definedName>
    <definedName name="_xlnm._FilterDatabase" localSheetId="0" hidden="1">'Xero Contacts'!$A$1:$D$100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8" i="30" l="1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3" i="30"/>
  <c r="F2" i="30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F4" i="29"/>
  <c r="F3" i="29"/>
  <c r="F2" i="29"/>
  <c r="F160" i="28"/>
  <c r="F159" i="28"/>
  <c r="F158" i="28"/>
  <c r="F157" i="28"/>
  <c r="F156" i="28"/>
  <c r="F155" i="28"/>
  <c r="F154" i="28"/>
  <c r="F153" i="28"/>
  <c r="F152" i="28"/>
  <c r="F151" i="28"/>
  <c r="F150" i="28"/>
  <c r="F149" i="28"/>
  <c r="F148" i="28"/>
  <c r="F147" i="28"/>
  <c r="F146" i="28"/>
  <c r="F145" i="28"/>
  <c r="F144" i="28"/>
  <c r="F143" i="28"/>
  <c r="F142" i="28"/>
  <c r="F141" i="28"/>
  <c r="F140" i="28"/>
  <c r="F139" i="28"/>
  <c r="F138" i="28"/>
  <c r="F137" i="28"/>
  <c r="F136" i="28"/>
  <c r="F135" i="28"/>
  <c r="F134" i="28"/>
  <c r="F133" i="28"/>
  <c r="F132" i="28"/>
  <c r="F131" i="28"/>
  <c r="F130" i="28"/>
  <c r="F129" i="28"/>
  <c r="F128" i="28"/>
  <c r="F127" i="28"/>
  <c r="F126" i="28"/>
  <c r="F125" i="28"/>
  <c r="F124" i="28"/>
  <c r="F123" i="28"/>
  <c r="F122" i="28"/>
  <c r="F121" i="28"/>
  <c r="F120" i="28"/>
  <c r="F119" i="28"/>
  <c r="F118" i="28"/>
  <c r="F117" i="28"/>
  <c r="F116" i="28"/>
  <c r="F115" i="28"/>
  <c r="F114" i="28"/>
  <c r="F113" i="28"/>
  <c r="F112" i="28"/>
  <c r="F111" i="28"/>
  <c r="F110" i="28"/>
  <c r="F109" i="28"/>
  <c r="F108" i="28"/>
  <c r="F107" i="28"/>
  <c r="F106" i="28"/>
  <c r="F105" i="28"/>
  <c r="F104" i="28"/>
  <c r="F103" i="28"/>
  <c r="F102" i="28"/>
  <c r="F101" i="28"/>
  <c r="F100" i="28"/>
  <c r="F99" i="28"/>
  <c r="F98" i="28"/>
  <c r="F97" i="28"/>
  <c r="F96" i="28"/>
  <c r="F95" i="28"/>
  <c r="F94" i="28"/>
  <c r="F93" i="28"/>
  <c r="F92" i="28"/>
  <c r="F91" i="28"/>
  <c r="F90" i="28"/>
  <c r="F89" i="28"/>
  <c r="F88" i="28"/>
  <c r="F87" i="28"/>
  <c r="F86" i="28"/>
  <c r="F85" i="28"/>
  <c r="F84" i="28"/>
  <c r="F83" i="28"/>
  <c r="F82" i="28"/>
  <c r="F81" i="28"/>
  <c r="F80" i="28"/>
  <c r="F79" i="28"/>
  <c r="F78" i="28"/>
  <c r="F77" i="28"/>
  <c r="F76" i="28"/>
  <c r="F75" i="28"/>
  <c r="F74" i="28"/>
  <c r="F73" i="28"/>
  <c r="F72" i="28"/>
  <c r="F71" i="28"/>
  <c r="F70" i="28"/>
  <c r="F69" i="28"/>
  <c r="F68" i="28"/>
  <c r="F67" i="28"/>
  <c r="F66" i="28"/>
  <c r="F65" i="28"/>
  <c r="F64" i="28"/>
  <c r="F63" i="28"/>
  <c r="F62" i="28"/>
  <c r="F61" i="28"/>
  <c r="F60" i="28"/>
  <c r="F59" i="28"/>
  <c r="F58" i="28"/>
  <c r="F57" i="28"/>
  <c r="F56" i="28"/>
  <c r="F55" i="28"/>
  <c r="F54" i="28"/>
  <c r="F53" i="28"/>
  <c r="F52" i="28"/>
  <c r="F51" i="28"/>
  <c r="F50" i="28"/>
  <c r="F49" i="28"/>
  <c r="F48" i="28"/>
  <c r="F47" i="28"/>
  <c r="F46" i="28"/>
  <c r="F45" i="28"/>
  <c r="F44" i="28"/>
  <c r="F43" i="28"/>
  <c r="F42" i="28"/>
  <c r="F41" i="28"/>
  <c r="F40" i="28"/>
  <c r="F39" i="28"/>
  <c r="F38" i="28"/>
  <c r="F37" i="28"/>
  <c r="F36" i="28"/>
  <c r="F35" i="28"/>
  <c r="F34" i="28"/>
  <c r="F33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/>
  <c r="F15" i="28"/>
  <c r="F14" i="28"/>
  <c r="F13" i="28"/>
  <c r="F12" i="28"/>
  <c r="F11" i="28"/>
  <c r="F10" i="28"/>
  <c r="F9" i="28"/>
  <c r="F8" i="28"/>
  <c r="F7" i="28"/>
  <c r="F6" i="28"/>
  <c r="F5" i="28"/>
  <c r="F4" i="28"/>
  <c r="F3" i="28"/>
  <c r="F2" i="28"/>
  <c r="C3" i="26"/>
  <c r="C4" i="26"/>
  <c r="C5" i="26"/>
  <c r="C6" i="26"/>
  <c r="D6" i="26" s="1"/>
  <c r="C7" i="26"/>
  <c r="D7" i="26" s="1"/>
  <c r="C8" i="26"/>
  <c r="C9" i="26"/>
  <c r="D9" i="26" s="1"/>
  <c r="C10" i="26"/>
  <c r="D10" i="26" s="1"/>
  <c r="C11" i="26"/>
  <c r="C12" i="26"/>
  <c r="C13" i="26"/>
  <c r="D13" i="26" s="1"/>
  <c r="C14" i="26"/>
  <c r="D14" i="26" s="1"/>
  <c r="C15" i="26"/>
  <c r="D15" i="26" s="1"/>
  <c r="C16" i="26"/>
  <c r="D16" i="26" s="1"/>
  <c r="C17" i="26"/>
  <c r="D17" i="26" s="1"/>
  <c r="C18" i="26"/>
  <c r="D18" i="26" s="1"/>
  <c r="C19" i="26"/>
  <c r="C20" i="26"/>
  <c r="C21" i="26"/>
  <c r="D21" i="26" s="1"/>
  <c r="C22" i="26"/>
  <c r="D22" i="26" s="1"/>
  <c r="C23" i="26"/>
  <c r="D23" i="26" s="1"/>
  <c r="C24" i="26"/>
  <c r="C25" i="26"/>
  <c r="D25" i="26" s="1"/>
  <c r="C26" i="26"/>
  <c r="C27" i="26"/>
  <c r="D27" i="26" s="1"/>
  <c r="C28" i="26"/>
  <c r="D28" i="26" s="1"/>
  <c r="C29" i="26"/>
  <c r="C30" i="26"/>
  <c r="D30" i="26" s="1"/>
  <c r="C31" i="26"/>
  <c r="D31" i="26" s="1"/>
  <c r="C32" i="26"/>
  <c r="D32" i="26" s="1"/>
  <c r="C33" i="26"/>
  <c r="D33" i="26" s="1"/>
  <c r="C34" i="26"/>
  <c r="D34" i="26" s="1"/>
  <c r="C35" i="26"/>
  <c r="D35" i="26" s="1"/>
  <c r="C36" i="26"/>
  <c r="C37" i="26"/>
  <c r="C38" i="26"/>
  <c r="D38" i="26" s="1"/>
  <c r="C39" i="26"/>
  <c r="D39" i="26" s="1"/>
  <c r="C40" i="26"/>
  <c r="D40" i="26" s="1"/>
  <c r="C41" i="26"/>
  <c r="D41" i="26" s="1"/>
  <c r="C42" i="26"/>
  <c r="D42" i="26" s="1"/>
  <c r="C43" i="26"/>
  <c r="D43" i="26" s="1"/>
  <c r="C44" i="26"/>
  <c r="C45" i="26"/>
  <c r="D45" i="26" s="1"/>
  <c r="C46" i="26"/>
  <c r="C47" i="26"/>
  <c r="D47" i="26" s="1"/>
  <c r="C48" i="26"/>
  <c r="D48" i="26" s="1"/>
  <c r="C49" i="26"/>
  <c r="D49" i="26" s="1"/>
  <c r="C50" i="26"/>
  <c r="D50" i="26" s="1"/>
  <c r="C51" i="26"/>
  <c r="C52" i="26"/>
  <c r="C53" i="26"/>
  <c r="D53" i="26" s="1"/>
  <c r="C54" i="26"/>
  <c r="D54" i="26" s="1"/>
  <c r="C55" i="26"/>
  <c r="D55" i="26" s="1"/>
  <c r="C56" i="26"/>
  <c r="D56" i="26" s="1"/>
  <c r="C57" i="26"/>
  <c r="D57" i="26" s="1"/>
  <c r="C58" i="26"/>
  <c r="D58" i="26" s="1"/>
  <c r="C59" i="26"/>
  <c r="D59" i="26" s="1"/>
  <c r="C60" i="26"/>
  <c r="D60" i="26" s="1"/>
  <c r="C61" i="26"/>
  <c r="D61" i="26" s="1"/>
  <c r="C62" i="26"/>
  <c r="D62" i="26" s="1"/>
  <c r="C63" i="26"/>
  <c r="D63" i="26" s="1"/>
  <c r="C64" i="26"/>
  <c r="D64" i="26" s="1"/>
  <c r="C65" i="26"/>
  <c r="D65" i="26" s="1"/>
  <c r="C66" i="26"/>
  <c r="D66" i="26" s="1"/>
  <c r="C67" i="26"/>
  <c r="D67" i="26" s="1"/>
  <c r="C68" i="26"/>
  <c r="D68" i="26" s="1"/>
  <c r="C69" i="26"/>
  <c r="D69" i="26" s="1"/>
  <c r="C70" i="26"/>
  <c r="D70" i="26" s="1"/>
  <c r="C71" i="26"/>
  <c r="D71" i="26" s="1"/>
  <c r="C72" i="26"/>
  <c r="D72" i="26" s="1"/>
  <c r="C73" i="26"/>
  <c r="D73" i="26" s="1"/>
  <c r="C74" i="26"/>
  <c r="D74" i="26" s="1"/>
  <c r="C75" i="26"/>
  <c r="D75" i="26" s="1"/>
  <c r="C76" i="26"/>
  <c r="D76" i="26" s="1"/>
  <c r="C77" i="26"/>
  <c r="D77" i="26" s="1"/>
  <c r="C78" i="26"/>
  <c r="D78" i="26" s="1"/>
  <c r="C79" i="26"/>
  <c r="D79" i="26" s="1"/>
  <c r="C80" i="26"/>
  <c r="D80" i="26" s="1"/>
  <c r="C81" i="26"/>
  <c r="D81" i="26" s="1"/>
  <c r="C82" i="26"/>
  <c r="D82" i="26" s="1"/>
  <c r="C83" i="26"/>
  <c r="D83" i="26" s="1"/>
  <c r="C84" i="26"/>
  <c r="D84" i="26" s="1"/>
  <c r="C85" i="26"/>
  <c r="D85" i="26" s="1"/>
  <c r="C86" i="26"/>
  <c r="D86" i="26" s="1"/>
  <c r="C87" i="26"/>
  <c r="D87" i="26" s="1"/>
  <c r="C88" i="26"/>
  <c r="D88" i="26" s="1"/>
  <c r="C89" i="26"/>
  <c r="D89" i="26" s="1"/>
  <c r="C90" i="26"/>
  <c r="D90" i="26" s="1"/>
  <c r="C91" i="26"/>
  <c r="D91" i="26" s="1"/>
  <c r="C92" i="26"/>
  <c r="D92" i="26" s="1"/>
  <c r="C93" i="26"/>
  <c r="D93" i="26" s="1"/>
  <c r="C94" i="26"/>
  <c r="D94" i="26" s="1"/>
  <c r="C95" i="26"/>
  <c r="D95" i="26" s="1"/>
  <c r="C96" i="26"/>
  <c r="D96" i="26" s="1"/>
  <c r="C97" i="26"/>
  <c r="D97" i="26" s="1"/>
  <c r="C98" i="26"/>
  <c r="D98" i="26" s="1"/>
  <c r="C99" i="26"/>
  <c r="D99" i="26" s="1"/>
  <c r="C100" i="26"/>
  <c r="D100" i="26" s="1"/>
  <c r="C2" i="26"/>
  <c r="D2" i="26" s="1"/>
  <c r="D3" i="26"/>
  <c r="D4" i="26"/>
  <c r="D5" i="26"/>
  <c r="D8" i="26"/>
  <c r="D11" i="26"/>
  <c r="D12" i="26"/>
  <c r="D19" i="26"/>
  <c r="D20" i="26"/>
  <c r="D24" i="26"/>
  <c r="D26" i="26"/>
  <c r="D29" i="26"/>
  <c r="D36" i="26"/>
  <c r="D37" i="26"/>
  <c r="D44" i="26"/>
  <c r="D46" i="26"/>
  <c r="D51" i="26"/>
  <c r="D52" i="26"/>
  <c r="K22" i="26"/>
  <c r="K23" i="26"/>
  <c r="K32" i="26"/>
  <c r="K40" i="26"/>
  <c r="K48" i="26"/>
  <c r="K56" i="26"/>
  <c r="K19" i="26"/>
  <c r="K16" i="26"/>
  <c r="K15" i="26"/>
  <c r="K11" i="26"/>
  <c r="K7" i="26"/>
  <c r="K3" i="26"/>
  <c r="K4" i="26"/>
  <c r="K5" i="26"/>
  <c r="K6" i="26"/>
  <c r="K8" i="26"/>
  <c r="K9" i="26"/>
  <c r="K10" i="26"/>
  <c r="K12" i="26"/>
  <c r="K13" i="26"/>
  <c r="K14" i="26"/>
  <c r="K17" i="26"/>
  <c r="K18" i="26"/>
  <c r="K20" i="26"/>
  <c r="K21" i="26"/>
  <c r="K24" i="26"/>
  <c r="K25" i="26"/>
  <c r="K26" i="26"/>
  <c r="K27" i="26"/>
  <c r="K28" i="26"/>
  <c r="K29" i="26"/>
  <c r="K30" i="26"/>
  <c r="K31" i="26"/>
  <c r="K33" i="26"/>
  <c r="K34" i="26"/>
  <c r="K35" i="26"/>
  <c r="K36" i="26"/>
  <c r="K37" i="26"/>
  <c r="K38" i="26"/>
  <c r="K39" i="26"/>
  <c r="K41" i="26"/>
  <c r="K42" i="26"/>
  <c r="K43" i="26"/>
  <c r="K44" i="26"/>
  <c r="K45" i="26"/>
  <c r="K46" i="26"/>
  <c r="K47" i="26"/>
  <c r="K49" i="26"/>
  <c r="K50" i="26"/>
  <c r="K51" i="26"/>
  <c r="K52" i="26"/>
  <c r="K53" i="26"/>
  <c r="K54" i="26"/>
  <c r="K55" i="26"/>
  <c r="K2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646898-84C8-4F1D-8FF1-088F4B5349B4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05316ABD-94A3-4AC2-815B-AEFEBD38CC60}" keepAlive="1" name="Query - Page002" description="Connection to the 'Page002' query in the workbook." type="5" refreshedVersion="0" background="1" saveData="1">
    <dbPr connection="Provider=Microsoft.Mashup.OleDb.1;Data Source=$Workbook$;Location=Page002;Extended Properties=&quot;&quot;" command="SELECT * FROM [Page002]"/>
  </connection>
  <connection id="3" xr16:uid="{18C6D2AA-C0DD-4062-8F4C-FE8636A5B380}" keepAlive="1" name="Query - Page003" description="Connection to the 'Page003' query in the workbook." type="5" refreshedVersion="0" background="1" saveData="1">
    <dbPr connection="Provider=Microsoft.Mashup.OleDb.1;Data Source=$Workbook$;Location=Page003;Extended Properties=&quot;&quot;" command="SELECT * FROM [Page003]"/>
  </connection>
  <connection id="4" xr16:uid="{78CB4947-6959-46F5-A058-CA9CAA670477}" keepAlive="1" name="Query - Table002 (Page 1-3)" description="Connection to the 'Table002 (Page 1-3)' query in the workbook." type="5" refreshedVersion="0" background="1" saveData="1">
    <dbPr connection="Provider=Microsoft.Mashup.OleDb.1;Data Source=$Workbook$;Location=&quot;Table002 (Page 1-3)&quot;;Extended Properties=&quot;&quot;" command="SELECT * FROM [Table002 (Page 1-3)]"/>
  </connection>
</connections>
</file>

<file path=xl/sharedStrings.xml><?xml version="1.0" encoding="utf-8"?>
<sst xmlns="http://schemas.openxmlformats.org/spreadsheetml/2006/main" count="1586" uniqueCount="643">
  <si>
    <t>Wilfort Pty Ltd</t>
  </si>
  <si>
    <t>Natcomp Australia Super Fund</t>
  </si>
  <si>
    <t>Nicholas Lazaridis</t>
  </si>
  <si>
    <t>Viano Corporation Pty Ltd</t>
  </si>
  <si>
    <t>Leva Superannuation Fund</t>
  </si>
  <si>
    <t>JGB Super Fund</t>
  </si>
  <si>
    <t>Manujan Trust</t>
  </si>
  <si>
    <t>Katie Andrews</t>
  </si>
  <si>
    <t>RS Hunter Super Fund</t>
  </si>
  <si>
    <t>Macourt Family Foundation</t>
  </si>
  <si>
    <t>Bernie Family Trust</t>
  </si>
  <si>
    <t>Dean Gardiner</t>
  </si>
  <si>
    <t>KEB Pension Fund</t>
  </si>
  <si>
    <t>Stevenson Computer Super Fund</t>
  </si>
  <si>
    <t>Keith Family Super Fund</t>
  </si>
  <si>
    <t>Amagis Family Super Fund</t>
  </si>
  <si>
    <t>Barry Verinder</t>
  </si>
  <si>
    <t>Lavin Trust</t>
  </si>
  <si>
    <t>Petrevski Super Fund</t>
  </si>
  <si>
    <t>Vincent and Laurette Refalo</t>
  </si>
  <si>
    <t>Paul Dunn</t>
  </si>
  <si>
    <t>Salvatore Roppolo</t>
  </si>
  <si>
    <t>Sura Kandirian (Interest)</t>
  </si>
  <si>
    <t>Shannan Whitney Super Fund</t>
  </si>
  <si>
    <t>Reynolds Family Trust</t>
  </si>
  <si>
    <t>Silvana Koren</t>
  </si>
  <si>
    <t>Sally Skoufis Trust</t>
  </si>
  <si>
    <t>Paul Swann</t>
  </si>
  <si>
    <t>Holgate Trust</t>
  </si>
  <si>
    <t>Marigold Pennefather</t>
  </si>
  <si>
    <t>Adam Ritson</t>
  </si>
  <si>
    <t>Gianna Swadling</t>
  </si>
  <si>
    <t>Darling Super Fund</t>
  </si>
  <si>
    <t>Marnie Dawson</t>
  </si>
  <si>
    <t>Blue Arcadia Pty Ltd</t>
  </si>
  <si>
    <t>Nicole Dunn</t>
  </si>
  <si>
    <t>Gatcorp Super Fund</t>
  </si>
  <si>
    <t>Anica Holgate</t>
  </si>
  <si>
    <t>Carol James</t>
  </si>
  <si>
    <t>William and Caroline Stevenson</t>
  </si>
  <si>
    <t>5114 Pty Ltd</t>
  </si>
  <si>
    <t>Julian Ludowici</t>
  </si>
  <si>
    <t>Selina Swadling</t>
  </si>
  <si>
    <t>Thrumster One Pty Ltd</t>
  </si>
  <si>
    <t>PDV Holdings Pty Ltd</t>
  </si>
  <si>
    <t>David Charles Macourt</t>
  </si>
  <si>
    <t>DCRM No 2 Super Fund</t>
  </si>
  <si>
    <t>MLM Family Legacy Trust</t>
  </si>
  <si>
    <t>Jennifer Lugsdin</t>
  </si>
  <si>
    <t>Lynne Bissett</t>
  </si>
  <si>
    <t>Biset Holdings Pty Ltd</t>
  </si>
  <si>
    <t>With bank details in contacts?</t>
  </si>
  <si>
    <t>Nomad Nominees Pty Ltd ATF Ray Superannuation Fund</t>
  </si>
  <si>
    <t>Magda Macourt Pty Ltd ATF Megda &amp; Kristina Macourt Family Trust</t>
  </si>
  <si>
    <t>Khameleon Enterprises Pty Ltd ATF Renaud Super Fund</t>
  </si>
  <si>
    <t>H &amp; G Alameddine Family Trust</t>
  </si>
  <si>
    <t>Leva Super Pty Ltd ATF Leva Superannuation Fund</t>
  </si>
  <si>
    <t>Natcomp Technology Australia Superannuation Fund</t>
  </si>
  <si>
    <t>John Barnett Nominees Pty Ltd ATF JGB Superannunation Fund</t>
  </si>
  <si>
    <t>KEB Nominees Pty Ltd ATF KEB Pension Fund</t>
  </si>
  <si>
    <t>Manujan Pty Ltd ATF Manujan Trust</t>
  </si>
  <si>
    <t>Katy Andrews</t>
  </si>
  <si>
    <t>YDNA Super Pty Ltd ATF Andy &amp; Karen Super fund</t>
  </si>
  <si>
    <t>Hunter Brunelle Nominees Pty Ltd RS Hunter Superannunation Fund</t>
  </si>
  <si>
    <t>Macourt Family Pty Ltd ATF Macourt Family Foundation</t>
  </si>
  <si>
    <t>JELPSS Pty Ltd ATF Bernie Family Trust</t>
  </si>
  <si>
    <t>Florio Investments</t>
  </si>
  <si>
    <t>JELPSS Pty Ltd ATF Bernie Family Trust No 2 Account</t>
  </si>
  <si>
    <t>Stevenson Computer Services Staff Superannuation Fund</t>
  </si>
  <si>
    <t>J &amp; M Chan Pty Ltd ATF Chan Family Pension Fund</t>
  </si>
  <si>
    <t>MWLD Super Fund</t>
  </si>
  <si>
    <t>Locaputo Super Fund</t>
  </si>
  <si>
    <t>Petrevski &amp; Co Pty Ltd ATF Petrevski Super Fund</t>
  </si>
  <si>
    <t>Vincent &amp; Laurette Refalo</t>
  </si>
  <si>
    <t>Julio Labraga</t>
  </si>
  <si>
    <t>Giuseppe &amp; Rosemary Musico</t>
  </si>
  <si>
    <t>Allicante Pty Ltd ATF Shannan Whitney Superannuation Fund</t>
  </si>
  <si>
    <t>Sally Skoufis Pty Ltd ATF Sally Skoufis Trust</t>
  </si>
  <si>
    <t>The Holgate Trust</t>
  </si>
  <si>
    <t>Darling Pty Ltd ATF Darling Super Fund</t>
  </si>
  <si>
    <t>Marlhan Family Trust</t>
  </si>
  <si>
    <t>Fletcher #2 Family Trust</t>
  </si>
  <si>
    <t>Gatcorp Super Fund Pty Ltd ATF Gatcorp Superannuation Fund</t>
  </si>
  <si>
    <t>Encina Trust</t>
  </si>
  <si>
    <t>Shannan Whitney</t>
  </si>
  <si>
    <t>W &amp; CE Stevenson</t>
  </si>
  <si>
    <t>G &amp; R Musico Services Pty Ltd ATF G &amp; R Musico Super Fund</t>
  </si>
  <si>
    <t>Giuseppe Musico</t>
  </si>
  <si>
    <t>PDV Holding Pty Ltd</t>
  </si>
  <si>
    <t>Macourt Children Settlement</t>
  </si>
  <si>
    <t>M &amp; K Macourt Family Trust</t>
  </si>
  <si>
    <t>DCRM No.2 Super Fund</t>
  </si>
  <si>
    <t>AKR Investments (NSW) Pty Ltd ATF The Andrew Rennie Family Trust</t>
  </si>
  <si>
    <t>MLM Legacy PL ATF MLM Family Legacy Trust</t>
  </si>
  <si>
    <t>Biset Holdings Pty Ltd ATF Kelf &amp; Tactum Superannuation Fund</t>
  </si>
  <si>
    <t>Amagis Family Trust</t>
  </si>
  <si>
    <t>Blue Pac Super Pty Ltd ATF Blue Pac Superannuation Fund</t>
  </si>
  <si>
    <t>AGVJ Family Trust</t>
  </si>
  <si>
    <t>Melissa Ball</t>
  </si>
  <si>
    <t>IT Contracting Services Pty Ltd ATF Zabow Superannuation Fund</t>
  </si>
  <si>
    <t>Principal Paid</t>
  </si>
  <si>
    <t>G &amp; R Musico Services</t>
  </si>
  <si>
    <t>AKR Investments (NSW)</t>
  </si>
  <si>
    <t>Expertiy Capital II AT</t>
  </si>
  <si>
    <t>KN REYNOLDS FAMILY PTY LTD</t>
  </si>
  <si>
    <t>D &amp; E Dusevic</t>
  </si>
  <si>
    <t>Stuart McKinlay</t>
  </si>
  <si>
    <t>Interest Paid</t>
  </si>
  <si>
    <t>Earlwood Orthodontics</t>
  </si>
  <si>
    <t>Xero Contacts</t>
  </si>
  <si>
    <t>Are You Happy Investments Pty Ltd</t>
  </si>
  <si>
    <t>Sura Kandirian</t>
  </si>
  <si>
    <t>Pay Amount</t>
  </si>
  <si>
    <t>Jersey Lane Trust</t>
  </si>
  <si>
    <t>S Nav Pty Ltd</t>
  </si>
  <si>
    <t>Predad Pty Ltd ATF W J Smith Superannuation Fund</t>
  </si>
  <si>
    <t>The Verinder Family Trust</t>
  </si>
  <si>
    <t>Investor</t>
  </si>
  <si>
    <t>Viano Corporation Pty Ltd account no. 2</t>
  </si>
  <si>
    <t>Navarra Enterprises Pty Ltd</t>
  </si>
  <si>
    <t>Blue Street Finance Pty Ltd</t>
  </si>
  <si>
    <t>Viano Corporation Pty Ltd DLOT</t>
  </si>
  <si>
    <t>S Nav Pty Ltd DLOT</t>
  </si>
  <si>
    <t>Adorben Superannuation Fund</t>
  </si>
  <si>
    <t>BDH Superannuation Fund</t>
  </si>
  <si>
    <t>Kaufline Family Super Fund</t>
  </si>
  <si>
    <t>Grant Pudig</t>
  </si>
  <si>
    <t>Winyard Superannuation Fund</t>
  </si>
  <si>
    <t>4th Floor Office Pty Ltd ATF 4th Floor Trust</t>
  </si>
  <si>
    <t>Fabio Grassia and Moni</t>
  </si>
  <si>
    <t>The Verinder Superannuation Fund</t>
  </si>
  <si>
    <t>Dr Zita Ballok</t>
  </si>
  <si>
    <t>Janet Cecilie Smith</t>
  </si>
  <si>
    <t>John and Kerrie Barnett</t>
  </si>
  <si>
    <t>Dovile Fraser</t>
  </si>
  <si>
    <t>Yartvest Pty Ltd</t>
  </si>
  <si>
    <t>Richard Telleria</t>
  </si>
  <si>
    <t>Eleanor Spano</t>
  </si>
  <si>
    <t>BSB</t>
  </si>
  <si>
    <t>Bank Account</t>
  </si>
  <si>
    <t>032267</t>
  </si>
  <si>
    <t>436344</t>
  </si>
  <si>
    <t>RAY Super Fund</t>
  </si>
  <si>
    <t>Renaud Superfund</t>
  </si>
  <si>
    <t>182512</t>
  </si>
  <si>
    <t>Are You Happy Investme</t>
  </si>
  <si>
    <t>032067</t>
  </si>
  <si>
    <t>701393</t>
  </si>
  <si>
    <t>Viano Corporation Pty</t>
  </si>
  <si>
    <t>012291</t>
  </si>
  <si>
    <t>282250074</t>
  </si>
  <si>
    <t>Natcomp Australia Supe</t>
  </si>
  <si>
    <t>399498305</t>
  </si>
  <si>
    <t>182222</t>
  </si>
  <si>
    <t>062000</t>
  </si>
  <si>
    <t>19265988</t>
  </si>
  <si>
    <t>963324603</t>
  </si>
  <si>
    <t>Macourt Family Foundat</t>
  </si>
  <si>
    <t>062005</t>
  </si>
  <si>
    <t>11346894</t>
  </si>
  <si>
    <t>Marie Florio</t>
  </si>
  <si>
    <t>062265</t>
  </si>
  <si>
    <t>10520606</t>
  </si>
  <si>
    <t>812170</t>
  </si>
  <si>
    <t>012406</t>
  </si>
  <si>
    <t>327553192</t>
  </si>
  <si>
    <t>012390</t>
  </si>
  <si>
    <t>476386076</t>
  </si>
  <si>
    <t>062140</t>
  </si>
  <si>
    <t>Julio Cesar Labraga</t>
  </si>
  <si>
    <t>182182</t>
  </si>
  <si>
    <t>Giuseppe and Rosemary</t>
  </si>
  <si>
    <t>062223</t>
  </si>
  <si>
    <t>11034746</t>
  </si>
  <si>
    <t>Sura Kandarian</t>
  </si>
  <si>
    <t>923100</t>
  </si>
  <si>
    <t>306845590</t>
  </si>
  <si>
    <t>KN REYNOLDS FAMILY PTY</t>
  </si>
  <si>
    <t>971569421</t>
  </si>
  <si>
    <t>732143</t>
  </si>
  <si>
    <t>543946</t>
  </si>
  <si>
    <t>032536</t>
  </si>
  <si>
    <t>108761</t>
  </si>
  <si>
    <t>082067</t>
  </si>
  <si>
    <t>667632700</t>
  </si>
  <si>
    <t>332003</t>
  </si>
  <si>
    <t>553544235</t>
  </si>
  <si>
    <t>062243</t>
  </si>
  <si>
    <t>10250796</t>
  </si>
  <si>
    <t>Fletcher #2 Family Tru</t>
  </si>
  <si>
    <t>064127</t>
  </si>
  <si>
    <t>10497155</t>
  </si>
  <si>
    <t>10364813</t>
  </si>
  <si>
    <t>554318694</t>
  </si>
  <si>
    <t>Shannan Whitney &amp; Juli</t>
  </si>
  <si>
    <t>231125147</t>
  </si>
  <si>
    <t>733089</t>
  </si>
  <si>
    <t>728345</t>
  </si>
  <si>
    <t>112879</t>
  </si>
  <si>
    <t>145800</t>
  </si>
  <si>
    <t>966442675</t>
  </si>
  <si>
    <t>082057</t>
  </si>
  <si>
    <t>599195456</t>
  </si>
  <si>
    <t>11523910</t>
  </si>
  <si>
    <t>418887745</t>
  </si>
  <si>
    <t>Macourt Children Settl</t>
  </si>
  <si>
    <t>062016</t>
  </si>
  <si>
    <t>28045002</t>
  </si>
  <si>
    <t>082001</t>
  </si>
  <si>
    <t>235768073</t>
  </si>
  <si>
    <t>633000</t>
  </si>
  <si>
    <t>111039095</t>
  </si>
  <si>
    <t>082080</t>
  </si>
  <si>
    <t>944770176</t>
  </si>
  <si>
    <t>Blue Pac Super Pty Ltd</t>
  </si>
  <si>
    <t>969313683</t>
  </si>
  <si>
    <t>062033</t>
  </si>
  <si>
    <t>10897263</t>
  </si>
  <si>
    <t>105506083</t>
  </si>
  <si>
    <t>Predad Pty Ltd ATF W J</t>
  </si>
  <si>
    <t>Adorben Pty Limited AT</t>
  </si>
  <si>
    <t>295421696</t>
  </si>
  <si>
    <t>Kaufline Superannuatio</t>
  </si>
  <si>
    <t>082762</t>
  </si>
  <si>
    <t>756279259</t>
  </si>
  <si>
    <t>BDH Superannuation Fun</t>
  </si>
  <si>
    <t>961043726</t>
  </si>
  <si>
    <t>732036</t>
  </si>
  <si>
    <t>740661</t>
  </si>
  <si>
    <t>Winyard Superannuation</t>
  </si>
  <si>
    <t>067167</t>
  </si>
  <si>
    <t>17851922</t>
  </si>
  <si>
    <t>4th Floor Office Pty L</t>
  </si>
  <si>
    <t>082356</t>
  </si>
  <si>
    <t>920007723</t>
  </si>
  <si>
    <t>J Smith</t>
  </si>
  <si>
    <t>7350982</t>
  </si>
  <si>
    <t>John Graham Barnet</t>
  </si>
  <si>
    <t>082476</t>
  </si>
  <si>
    <t>825512924</t>
  </si>
  <si>
    <t>J &amp; M Chan Pty Ltd ATF</t>
  </si>
  <si>
    <t>732083</t>
  </si>
  <si>
    <t>628517</t>
  </si>
  <si>
    <t>Yarvest Pty Ltd</t>
  </si>
  <si>
    <t>032075</t>
  </si>
  <si>
    <t>457968</t>
  </si>
  <si>
    <t>438684822</t>
  </si>
  <si>
    <t>Experity</t>
  </si>
  <si>
    <t>TY OZ PTY LTD ATF TY OZ Trust</t>
  </si>
  <si>
    <t>Edward Cassidy</t>
  </si>
  <si>
    <t>Longroup Investments Pty Ltd</t>
  </si>
  <si>
    <t>Barry and Fiona Donnelly</t>
  </si>
  <si>
    <t>Danae No.1 Family Trust</t>
  </si>
  <si>
    <t>Edward P Cassidy</t>
  </si>
  <si>
    <t>Zabow Superannuation Fund</t>
  </si>
  <si>
    <t>Bernie Family Trust No 2</t>
  </si>
  <si>
    <t>LON Investments</t>
  </si>
  <si>
    <t>112-879105506083</t>
  </si>
  <si>
    <t>MWLD SMSF</t>
  </si>
  <si>
    <t>Sal &amp; Silvia Navarra</t>
  </si>
  <si>
    <t>Shannan Whitney and Juliet</t>
  </si>
  <si>
    <t>Spalding Group Pty Ltd</t>
  </si>
  <si>
    <t>TY OZ PTY LTD</t>
  </si>
  <si>
    <t>Andy &amp; Karen Super Fund</t>
  </si>
  <si>
    <t>062009 11072896</t>
  </si>
  <si>
    <t>Bank Account Number</t>
  </si>
  <si>
    <t>Payee/Payor Name</t>
  </si>
  <si>
    <t>Transaction</t>
  </si>
  <si>
    <t>20530857</t>
  </si>
  <si>
    <t>966505943</t>
  </si>
  <si>
    <t>128413</t>
  </si>
  <si>
    <t>TY OZ PTY LTD ATF TY O</t>
  </si>
  <si>
    <t>033364</t>
  </si>
  <si>
    <t>015140</t>
  </si>
  <si>
    <t>082356920007723</t>
  </si>
  <si>
    <t>182512966442675</t>
  </si>
  <si>
    <t>082067667632700</t>
  </si>
  <si>
    <t>182222121972640</t>
  </si>
  <si>
    <t>082001235768073</t>
  </si>
  <si>
    <t>082080944770176</t>
  </si>
  <si>
    <t>032067701393</t>
  </si>
  <si>
    <t>182512961043726</t>
  </si>
  <si>
    <t>06224310250796</t>
  </si>
  <si>
    <t>182512969313683</t>
  </si>
  <si>
    <t>733089728345</t>
  </si>
  <si>
    <t>332003553544235</t>
  </si>
  <si>
    <t>06201628045002</t>
  </si>
  <si>
    <t>732083628517</t>
  </si>
  <si>
    <t>06203310897263</t>
  </si>
  <si>
    <t>112879438684822</t>
  </si>
  <si>
    <t>012291295421696</t>
  </si>
  <si>
    <t>06412710497155</t>
  </si>
  <si>
    <t>06222311523910</t>
  </si>
  <si>
    <t>332003554318694</t>
  </si>
  <si>
    <t>06222311034746</t>
  </si>
  <si>
    <t>732036740661</t>
  </si>
  <si>
    <t>732143543946</t>
  </si>
  <si>
    <t>012406327553192</t>
  </si>
  <si>
    <t>8121707350982</t>
  </si>
  <si>
    <t>06200020530857</t>
  </si>
  <si>
    <t>082476825512924</t>
  </si>
  <si>
    <t>082057599195456</t>
  </si>
  <si>
    <t>082762756279259</t>
  </si>
  <si>
    <t>182512971569421</t>
  </si>
  <si>
    <t>012390476386076</t>
  </si>
  <si>
    <t>633000111039095</t>
  </si>
  <si>
    <t/>
  </si>
  <si>
    <t>06200511346894</t>
  </si>
  <si>
    <t>06200019265988</t>
  </si>
  <si>
    <t>06226510520606</t>
  </si>
  <si>
    <t>032536108761</t>
  </si>
  <si>
    <t>112879105506083</t>
  </si>
  <si>
    <t>182512966505943</t>
  </si>
  <si>
    <t>012291399498305</t>
  </si>
  <si>
    <t>06214010364813</t>
  </si>
  <si>
    <t>082057418887745</t>
  </si>
  <si>
    <t>182182128413</t>
  </si>
  <si>
    <t>182512963324603</t>
  </si>
  <si>
    <t>182222231125147</t>
  </si>
  <si>
    <t>923100306845590</t>
  </si>
  <si>
    <t>033364015140</t>
  </si>
  <si>
    <t>012291282250074</t>
  </si>
  <si>
    <t>812170145800</t>
  </si>
  <si>
    <t>032267436344</t>
  </si>
  <si>
    <t>06716717851922</t>
  </si>
  <si>
    <t>032075457968</t>
  </si>
  <si>
    <t>Charlotte Taylor</t>
  </si>
  <si>
    <t>ACN 161 604 315 Pty Ltd</t>
  </si>
  <si>
    <t>From Mortgage Pool Distribution Audit Report CPDF</t>
  </si>
  <si>
    <t>From Mortgage Pool Distribution Audit Report DLOT</t>
  </si>
  <si>
    <t>From Mortgage Pool Distribution Audit Report DLOT#2</t>
  </si>
  <si>
    <r>
      <rPr>
        <b/>
        <sz val="8"/>
        <rFont val="Arial"/>
        <family val="2"/>
      </rPr>
      <t>Mortgage Pool:</t>
    </r>
  </si>
  <si>
    <r>
      <rPr>
        <sz val="8"/>
        <rFont val="Arial"/>
        <family val="2"/>
      </rPr>
      <t>1001-CPDF</t>
    </r>
  </si>
  <si>
    <r>
      <rPr>
        <b/>
        <sz val="8"/>
        <rFont val="Arial"/>
        <family val="2"/>
      </rPr>
      <t>Total Amount of Distribution:</t>
    </r>
  </si>
  <si>
    <r>
      <rPr>
        <b/>
        <sz val="8"/>
        <rFont val="Arial"/>
        <family val="2"/>
      </rPr>
      <t>Bank Account:</t>
    </r>
  </si>
  <si>
    <r>
      <rPr>
        <sz val="8"/>
        <rFont val="Arial"/>
        <family val="2"/>
      </rPr>
      <t>CPDF</t>
    </r>
  </si>
  <si>
    <r>
      <rPr>
        <b/>
        <sz val="8"/>
        <rFont val="Arial"/>
        <family val="2"/>
      </rPr>
      <t>Total Interest Paid:</t>
    </r>
  </si>
  <si>
    <r>
      <rPr>
        <b/>
        <sz val="8"/>
        <rFont val="Arial"/>
        <family val="2"/>
      </rPr>
      <t>Distribution Date:</t>
    </r>
  </si>
  <si>
    <r>
      <rPr>
        <b/>
        <sz val="8"/>
        <rFont val="Arial"/>
        <family val="2"/>
      </rPr>
      <t>Total Principal Paid:</t>
    </r>
  </si>
  <si>
    <r>
      <rPr>
        <b/>
        <sz val="8"/>
        <rFont val="Arial"/>
        <family val="2"/>
      </rPr>
      <t>Total Principal Rollover</t>
    </r>
  </si>
  <si>
    <r>
      <rPr>
        <b/>
        <sz val="8"/>
        <rFont val="Arial"/>
        <family val="2"/>
      </rPr>
      <t>Certificate Number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</si>
  <si>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</si>
  <si>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Pay Amount</t>
    </r>
  </si>
  <si>
    <r>
      <rPr>
        <b/>
        <sz val="8"/>
        <rFont val="Arial"/>
        <family val="2"/>
      </rPr>
      <t>Interest Paid</t>
    </r>
  </si>
  <si>
    <r>
      <rPr>
        <b/>
        <sz val="8"/>
        <rFont val="Arial"/>
        <family val="2"/>
      </rPr>
      <t>Principal Paid</t>
    </r>
  </si>
  <si>
    <r>
      <rPr>
        <b/>
        <sz val="8"/>
        <rFont val="Arial"/>
        <family val="2"/>
      </rPr>
      <t>Principal Rollover</t>
    </r>
  </si>
  <si>
    <r>
      <rPr>
        <b/>
        <sz val="8"/>
        <rFont val="Arial"/>
        <family val="2"/>
      </rPr>
      <t>ACH</t>
    </r>
  </si>
  <si>
    <r>
      <rPr>
        <sz val="8"/>
        <rFont val="Arial"/>
        <family val="2"/>
      </rPr>
      <t>Distribution through 30/04/2024</t>
    </r>
  </si>
  <si>
    <r>
      <rPr>
        <sz val="8"/>
        <rFont val="Arial"/>
        <family val="2"/>
      </rPr>
      <t>1003                 Wilfort Pty Ltd</t>
    </r>
  </si>
  <si>
    <r>
      <rPr>
        <sz val="8"/>
        <rFont val="Arial"/>
        <family val="2"/>
      </rPr>
      <t>1004                 Nomad</t>
    </r>
  </si>
  <si>
    <r>
      <rPr>
        <sz val="8"/>
        <rFont val="Arial"/>
        <family val="2"/>
      </rPr>
      <t>Nominees Pty Ltd ATF Ray Superannuation Fund</t>
    </r>
  </si>
  <si>
    <r>
      <rPr>
        <sz val="8"/>
        <rFont val="Arial"/>
        <family val="2"/>
      </rPr>
      <t>1006                 Nicholas Lazaridis</t>
    </r>
  </si>
  <si>
    <r>
      <rPr>
        <sz val="8"/>
        <rFont val="Arial"/>
        <family val="2"/>
      </rPr>
      <t>Khameleon Enterprises Pty Ltd ATF Renaud Super Fund</t>
    </r>
  </si>
  <si>
    <r>
      <rPr>
        <sz val="8"/>
        <rFont val="Arial"/>
        <family val="2"/>
      </rPr>
      <t>Distribution from 07/04/2024 through 30/04/202</t>
    </r>
  </si>
  <si>
    <r>
      <rPr>
        <sz val="8"/>
        <rFont val="Arial"/>
        <family val="2"/>
      </rPr>
      <t>1010                 H &amp; G Alameddine Family Trust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</si>
  <si>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1063</t>
    </r>
  </si>
  <si>
    <r>
      <rPr>
        <b/>
        <sz val="8"/>
        <rFont val="Arial"/>
        <family val="2"/>
      </rPr>
      <t xml:space="preserve">Description
</t>
    </r>
    <r>
      <rPr>
        <sz val="8"/>
        <rFont val="Arial"/>
        <family val="2"/>
      </rPr>
      <t>Distribution through 30/04/2024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</si>
  <si>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$986.30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</si>
  <si>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$986.30</t>
    </r>
  </si>
  <si>
    <r>
      <rPr>
        <b/>
        <sz val="8"/>
        <rFont val="Arial"/>
        <family val="2"/>
      </rPr>
      <t xml:space="preserve">Principal Paid
</t>
    </r>
    <r>
      <rPr>
        <sz val="8"/>
        <rFont val="Arial"/>
        <family val="2"/>
      </rPr>
      <t>$0.00</t>
    </r>
  </si>
  <si>
    <r>
      <rPr>
        <b/>
        <sz val="8"/>
        <rFont val="Arial"/>
        <family val="2"/>
      </rPr>
      <t xml:space="preserve">Principal Rollover
</t>
    </r>
    <r>
      <rPr>
        <sz val="8"/>
        <rFont val="Arial"/>
        <family val="2"/>
      </rPr>
      <t>$0.00</t>
    </r>
  </si>
  <si>
    <r>
      <rPr>
        <sz val="8"/>
        <rFont val="Arial"/>
        <family val="2"/>
      </rPr>
      <t>Viano Corporation Pty Ltd</t>
    </r>
  </si>
  <si>
    <r>
      <rPr>
        <sz val="8"/>
        <rFont val="Arial"/>
        <family val="2"/>
      </rPr>
      <t>1012                 Leva</t>
    </r>
  </si>
  <si>
    <r>
      <rPr>
        <sz val="8"/>
        <rFont val="Arial"/>
        <family val="2"/>
      </rPr>
      <t>Super Pty Ltd ATF Leva Superannuation Fund</t>
    </r>
  </si>
  <si>
    <r>
      <rPr>
        <sz val="8"/>
        <rFont val="Arial"/>
        <family val="2"/>
      </rPr>
      <t>1013                 Natcomp Technology Australia Superannuation Fund</t>
    </r>
  </si>
  <si>
    <r>
      <rPr>
        <b/>
        <sz val="8"/>
        <rFont val="Arial"/>
        <family val="2"/>
      </rPr>
      <t xml:space="preserve">Certificate
</t>
    </r>
    <r>
      <rPr>
        <b/>
        <vertAlign val="superscript"/>
        <sz val="8"/>
        <rFont val="Arial"/>
        <family val="2"/>
      </rPr>
      <t xml:space="preserve">Number                                      </t>
    </r>
    <r>
      <rPr>
        <b/>
        <sz val="8"/>
        <rFont val="Arial"/>
        <family val="2"/>
      </rPr>
      <t>Description</t>
    </r>
  </si>
  <si>
    <r>
      <rPr>
        <sz val="8"/>
        <rFont val="Arial"/>
        <family val="2"/>
      </rPr>
      <t>1080                        Distribution through 30/04/2024</t>
    </r>
  </si>
  <si>
    <r>
      <rPr>
        <sz val="8"/>
        <rFont val="Arial"/>
        <family val="2"/>
      </rPr>
      <t>1014                 John Barnett Nominees Pty Ltd ATF JGB Superannunation</t>
    </r>
  </si>
  <si>
    <r>
      <rPr>
        <sz val="8"/>
        <rFont val="Arial"/>
        <family val="2"/>
      </rPr>
      <t>Fund</t>
    </r>
  </si>
  <si>
    <r>
      <rPr>
        <sz val="8"/>
        <rFont val="Arial"/>
        <family val="2"/>
      </rPr>
      <t>1081                        Distribution through 30/04/2024</t>
    </r>
  </si>
  <si>
    <r>
      <rPr>
        <sz val="8"/>
        <rFont val="Arial"/>
        <family val="2"/>
      </rPr>
      <t>1083                        Distribution through 30/04/2024</t>
    </r>
  </si>
  <si>
    <r>
      <rPr>
        <sz val="8"/>
        <rFont val="Arial"/>
        <family val="2"/>
      </rPr>
      <t>1017                 Manujan Pty Ltd ATF Manujan Trust</t>
    </r>
  </si>
  <si>
    <r>
      <rPr>
        <sz val="8"/>
        <rFont val="Arial"/>
        <family val="2"/>
      </rPr>
      <t>1087                        Distribution through 30/04/2024</t>
    </r>
  </si>
  <si>
    <r>
      <rPr>
        <sz val="8"/>
        <rFont val="Arial"/>
        <family val="2"/>
      </rPr>
      <t>1018                 Katy Andrews &amp; Daniel Andrews</t>
    </r>
  </si>
  <si>
    <r>
      <rPr>
        <sz val="8"/>
        <rFont val="Arial"/>
        <family val="2"/>
      </rPr>
      <t>1089                        Distribution through 30/04/2024</t>
    </r>
  </si>
  <si>
    <r>
      <rPr>
        <sz val="8"/>
        <rFont val="Arial"/>
        <family val="2"/>
      </rPr>
      <t>Katy Andrews</t>
    </r>
  </si>
  <si>
    <r>
      <rPr>
        <sz val="8"/>
        <rFont val="Arial"/>
        <family val="2"/>
      </rPr>
      <t>1022                 YDNA</t>
    </r>
  </si>
  <si>
    <r>
      <rPr>
        <sz val="8"/>
        <rFont val="Arial"/>
        <family val="2"/>
      </rPr>
      <t>Super Pty Ltd ATF Andy &amp; Karen Super fund</t>
    </r>
  </si>
  <si>
    <r>
      <rPr>
        <sz val="8"/>
        <rFont val="Arial"/>
        <family val="2"/>
      </rPr>
      <t>1022                 YDNA Super Pty Ltd ATF Andy &amp; Karen Super fund</t>
    </r>
  </si>
  <si>
    <r>
      <rPr>
        <sz val="8"/>
        <rFont val="Arial"/>
        <family val="2"/>
      </rPr>
      <t>1023                 Hunter Brunelle Nominees Pty Ltd RS Hunter Superannunation Fund</t>
    </r>
  </si>
  <si>
    <r>
      <rPr>
        <b/>
        <sz val="8"/>
        <rFont val="Arial"/>
        <family val="2"/>
      </rPr>
      <t xml:space="preserve">Certificate                                                                                                  Pay
</t>
    </r>
    <r>
      <rPr>
        <b/>
        <vertAlign val="superscript"/>
        <sz val="8"/>
        <rFont val="Arial"/>
        <family val="2"/>
      </rPr>
      <t xml:space="preserve">Number                                      </t>
    </r>
    <r>
      <rPr>
        <b/>
        <sz val="8"/>
        <rFont val="Arial"/>
        <family val="2"/>
      </rPr>
      <t xml:space="preserve">Description                                      </t>
    </r>
    <r>
      <rPr>
        <b/>
        <vertAlign val="superscript"/>
        <sz val="8"/>
        <rFont val="Arial"/>
        <family val="2"/>
      </rPr>
      <t>Amount</t>
    </r>
  </si>
  <si>
    <r>
      <rPr>
        <sz val="8"/>
        <rFont val="Arial"/>
        <family val="2"/>
      </rPr>
      <t>1093                        Distribution through 30/04/2024                                         $1,643.84</t>
    </r>
  </si>
  <si>
    <r>
      <rPr>
        <sz val="8"/>
        <rFont val="Arial"/>
        <family val="2"/>
      </rPr>
      <t>1024                 Macourt Family Pty Ltd ATF Macourt Family Foundation</t>
    </r>
  </si>
  <si>
    <r>
      <rPr>
        <sz val="8"/>
        <rFont val="Arial"/>
        <family val="2"/>
      </rPr>
      <t>1102                        Distribution through 30/04/2024                                         $1,578.08</t>
    </r>
  </si>
  <si>
    <r>
      <rPr>
        <sz val="8"/>
        <rFont val="Arial"/>
        <family val="2"/>
      </rPr>
      <t>1027                 JELPSS Pty Ltd ATF Bernie Family Trust</t>
    </r>
  </si>
  <si>
    <r>
      <rPr>
        <sz val="8"/>
        <rFont val="Arial"/>
        <family val="2"/>
      </rPr>
      <t>1097                        Distribution through 30/04/2024                                       $14,390.23</t>
    </r>
  </si>
  <si>
    <r>
      <rPr>
        <sz val="8"/>
        <rFont val="Arial"/>
        <family val="2"/>
      </rPr>
      <t>1112                        Distribution through 30/04/2024                                            $171.13</t>
    </r>
  </si>
  <si>
    <r>
      <rPr>
        <sz val="8"/>
        <rFont val="Arial"/>
        <family val="2"/>
      </rPr>
      <t>1201                        Distribution through 30/04/2024                                       $21,249.86</t>
    </r>
  </si>
  <si>
    <r>
      <rPr>
        <sz val="8"/>
        <rFont val="Arial"/>
        <family val="2"/>
      </rPr>
      <t>1247                        Distribution through 30/04/2024                                                $0.00</t>
    </r>
  </si>
  <si>
    <r>
      <rPr>
        <sz val="8"/>
        <rFont val="Arial"/>
        <family val="2"/>
      </rPr>
      <t>Dean Gardiner</t>
    </r>
  </si>
  <si>
    <r>
      <rPr>
        <sz val="8"/>
        <rFont val="Arial"/>
        <family val="2"/>
      </rPr>
      <t>1033                        Distribution through 30/04/2024</t>
    </r>
  </si>
  <si>
    <r>
      <rPr>
        <sz val="8"/>
        <rFont val="Arial"/>
        <family val="2"/>
      </rPr>
      <t>1050                        Distribution through 30/04/2024</t>
    </r>
  </si>
  <si>
    <r>
      <rPr>
        <sz val="8"/>
        <rFont val="Arial"/>
        <family val="2"/>
      </rPr>
      <t>1098                        Distribution through 30/04/2024</t>
    </r>
  </si>
  <si>
    <r>
      <rPr>
        <sz val="8"/>
        <rFont val="Arial"/>
        <family val="2"/>
      </rPr>
      <t>1133                        Distribution through 30/04/2024</t>
    </r>
  </si>
  <si>
    <r>
      <rPr>
        <sz val="8"/>
        <rFont val="Arial"/>
        <family val="2"/>
      </rPr>
      <t>1030                 Florio Investments</t>
    </r>
  </si>
  <si>
    <r>
      <rPr>
        <sz val="8"/>
        <rFont val="Arial"/>
        <family val="2"/>
      </rPr>
      <t>1099                        Distribution through 30/04/2024</t>
    </r>
  </si>
  <si>
    <r>
      <rPr>
        <sz val="8"/>
        <rFont val="Arial"/>
        <family val="2"/>
      </rPr>
      <t>1032                 Stevenson Computer Services Staff Superannuation Fund</t>
    </r>
  </si>
  <si>
    <r>
      <rPr>
        <sz val="8"/>
        <rFont val="Arial"/>
        <family val="2"/>
      </rPr>
      <t>1039                        Distribution through 30/04/2024</t>
    </r>
  </si>
  <si>
    <r>
      <rPr>
        <sz val="8"/>
        <rFont val="Arial"/>
        <family val="2"/>
      </rPr>
      <t>1131                        Distribution through 30/04/2024</t>
    </r>
  </si>
  <si>
    <r>
      <rPr>
        <sz val="8"/>
        <rFont val="Arial"/>
        <family val="2"/>
      </rPr>
      <t>Keith Family Super Fund</t>
    </r>
  </si>
  <si>
    <r>
      <rPr>
        <sz val="8"/>
        <rFont val="Arial"/>
        <family val="2"/>
      </rPr>
      <t>1135                        Distribution through 30/04/2024</t>
    </r>
  </si>
  <si>
    <r>
      <rPr>
        <sz val="8"/>
        <rFont val="Arial"/>
        <family val="2"/>
      </rPr>
      <t>1213                        Distribution through 30/04/2024</t>
    </r>
  </si>
  <si>
    <r>
      <rPr>
        <sz val="8"/>
        <rFont val="Arial"/>
        <family val="2"/>
      </rPr>
      <t>1034                 Amagis Family Super Fund</t>
    </r>
  </si>
  <si>
    <r>
      <rPr>
        <sz val="8"/>
        <rFont val="Arial"/>
        <family val="2"/>
      </rPr>
      <t>1183                        Distribution through 30/04/2024</t>
    </r>
  </si>
  <si>
    <r>
      <rPr>
        <sz val="8"/>
        <rFont val="Arial"/>
        <family val="2"/>
      </rPr>
      <t>1035                 J &amp; M</t>
    </r>
  </si>
  <si>
    <r>
      <rPr>
        <sz val="8"/>
        <rFont val="Arial"/>
        <family val="2"/>
      </rPr>
      <t>Chan Pty Ltd ATF Chan Family Pension Fund</t>
    </r>
  </si>
  <si>
    <r>
      <rPr>
        <sz val="8"/>
        <rFont val="Arial"/>
        <family val="2"/>
      </rPr>
      <t>MWLD Super Fund</t>
    </r>
  </si>
  <si>
    <r>
      <rPr>
        <sz val="8"/>
        <rFont val="Arial"/>
        <family val="2"/>
      </rPr>
      <t>Distribution from 04/04/2024 through 30/04/202</t>
    </r>
  </si>
  <si>
    <r>
      <rPr>
        <sz val="8"/>
        <rFont val="Arial"/>
        <family val="2"/>
      </rPr>
      <t>1038                 The</t>
    </r>
  </si>
  <si>
    <r>
      <rPr>
        <sz val="8"/>
        <rFont val="Arial"/>
        <family val="2"/>
      </rPr>
      <t>Verinder Family Trust</t>
    </r>
  </si>
  <si>
    <r>
      <rPr>
        <sz val="8"/>
        <rFont val="Arial"/>
        <family val="2"/>
      </rPr>
      <t>Lavin Trust</t>
    </r>
  </si>
  <si>
    <r>
      <rPr>
        <sz val="8"/>
        <rFont val="Arial"/>
        <family val="2"/>
      </rPr>
      <t>Petrevski &amp; Co Pty Ltd ATF Petrevski Super Fund</t>
    </r>
  </si>
  <si>
    <r>
      <rPr>
        <sz val="8"/>
        <rFont val="Arial"/>
        <family val="2"/>
      </rPr>
      <t>Vincent &amp; Laurette Refalo</t>
    </r>
  </si>
  <si>
    <r>
      <rPr>
        <sz val="8"/>
        <rFont val="Arial"/>
        <family val="2"/>
      </rPr>
      <t>1049                        Distribution through 30/04/2024</t>
    </r>
  </si>
  <si>
    <r>
      <rPr>
        <sz val="8"/>
        <rFont val="Arial"/>
        <family val="2"/>
      </rPr>
      <t>1203                        Distribution through 30/04/2024</t>
    </r>
  </si>
  <si>
    <r>
      <rPr>
        <sz val="8"/>
        <rFont val="Arial"/>
        <family val="2"/>
      </rPr>
      <t>1246                        Distribution through 30/04/2024</t>
    </r>
  </si>
  <si>
    <r>
      <rPr>
        <sz val="8"/>
        <rFont val="Arial"/>
        <family val="2"/>
      </rPr>
      <t>1042                 Paul Dunn</t>
    </r>
  </si>
  <si>
    <r>
      <rPr>
        <sz val="8"/>
        <rFont val="Arial"/>
        <family val="2"/>
      </rPr>
      <t>1052                        Distribution through 30/04/2024</t>
    </r>
  </si>
  <si>
    <r>
      <rPr>
        <sz val="8"/>
        <rFont val="Arial"/>
        <family val="2"/>
      </rPr>
      <t>1121                        Distribution through 30/04/2024</t>
    </r>
  </si>
  <si>
    <r>
      <rPr>
        <sz val="8"/>
        <rFont val="Arial"/>
        <family val="2"/>
      </rPr>
      <t>1043                 Julio Labraga</t>
    </r>
  </si>
  <si>
    <r>
      <rPr>
        <sz val="8"/>
        <rFont val="Arial"/>
        <family val="2"/>
      </rPr>
      <t>1046                 Giuseppe &amp; Rosemary Musico</t>
    </r>
  </si>
  <si>
    <r>
      <rPr>
        <sz val="8"/>
        <rFont val="Arial"/>
        <family val="2"/>
      </rPr>
      <t>1059                        Distribution through 30/04/2024</t>
    </r>
  </si>
  <si>
    <r>
      <rPr>
        <sz val="8"/>
        <rFont val="Arial"/>
        <family val="2"/>
      </rPr>
      <t>Salvatore Roppolo</t>
    </r>
  </si>
  <si>
    <r>
      <rPr>
        <sz val="8"/>
        <rFont val="Arial"/>
        <family val="2"/>
      </rPr>
      <t>1048                 Allicante</t>
    </r>
  </si>
  <si>
    <r>
      <rPr>
        <sz val="8"/>
        <rFont val="Arial"/>
        <family val="2"/>
      </rPr>
      <t>Pty Ltd ATF Shannan Whitney Superannuation Fund</t>
    </r>
  </si>
  <si>
    <r>
      <rPr>
        <sz val="8"/>
        <rFont val="Arial"/>
        <family val="2"/>
      </rPr>
      <t>Reynolds Family Trust</t>
    </r>
  </si>
  <si>
    <r>
      <rPr>
        <sz val="8"/>
        <rFont val="Arial"/>
        <family val="2"/>
      </rPr>
      <t>1050                 Silvana</t>
    </r>
  </si>
  <si>
    <r>
      <rPr>
        <sz val="8"/>
        <rFont val="Arial"/>
        <family val="2"/>
      </rPr>
      <t>Koren</t>
    </r>
  </si>
  <si>
    <r>
      <rPr>
        <sz val="8"/>
        <rFont val="Arial"/>
        <family val="2"/>
      </rPr>
      <t>Paul Swann</t>
    </r>
  </si>
  <si>
    <r>
      <rPr>
        <sz val="8"/>
        <rFont val="Arial"/>
        <family val="2"/>
      </rPr>
      <t>1109                        Distribution through 30/04/2024</t>
    </r>
  </si>
  <si>
    <r>
      <rPr>
        <sz val="8"/>
        <rFont val="Arial"/>
        <family val="2"/>
      </rPr>
      <t>1127                        Distribution through 30/04/2024</t>
    </r>
  </si>
  <si>
    <r>
      <rPr>
        <sz val="8"/>
        <rFont val="Arial"/>
        <family val="2"/>
      </rPr>
      <t>1232                        Distribution through 30/04/2024</t>
    </r>
  </si>
  <si>
    <r>
      <rPr>
        <sz val="8"/>
        <rFont val="Arial"/>
        <family val="2"/>
      </rPr>
      <t>1055                 The Holgate Trust</t>
    </r>
  </si>
  <si>
    <r>
      <rPr>
        <sz val="8"/>
        <rFont val="Arial"/>
        <family val="2"/>
      </rPr>
      <t>1192                        Distribution through 30/04/2024</t>
    </r>
  </si>
  <si>
    <r>
      <rPr>
        <sz val="8"/>
        <rFont val="Arial"/>
        <family val="2"/>
      </rPr>
      <t>1056                 Marigold Pennefather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</si>
  <si>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1111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</si>
  <si>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$7,643.84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</si>
  <si>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$7,643.84</t>
    </r>
  </si>
  <si>
    <r>
      <rPr>
        <sz val="8"/>
        <rFont val="Arial"/>
        <family val="2"/>
      </rPr>
      <t>1057                 D &amp; E Dusevic</t>
    </r>
  </si>
  <si>
    <r>
      <rPr>
        <sz val="8"/>
        <rFont val="Arial"/>
        <family val="2"/>
      </rPr>
      <t>1222                        Distribution through 30/04/2024</t>
    </r>
  </si>
  <si>
    <r>
      <rPr>
        <sz val="8"/>
        <rFont val="Arial"/>
        <family val="2"/>
      </rPr>
      <t>1235                        Distribution through 30/04/2024</t>
    </r>
  </si>
  <si>
    <r>
      <rPr>
        <sz val="8"/>
        <rFont val="Arial"/>
        <family val="2"/>
      </rPr>
      <t>1059                 Adam Ritson</t>
    </r>
  </si>
  <si>
    <r>
      <rPr>
        <sz val="8"/>
        <rFont val="Arial"/>
        <family val="2"/>
      </rPr>
      <t>1126                        Distribution through 30/04/2024</t>
    </r>
  </si>
  <si>
    <r>
      <rPr>
        <sz val="8"/>
        <rFont val="Arial"/>
        <family val="2"/>
      </rPr>
      <t>1061                 Almeida Group Investments Pty Ltd</t>
    </r>
  </si>
  <si>
    <r>
      <rPr>
        <sz val="8"/>
        <rFont val="Arial"/>
        <family val="2"/>
      </rPr>
      <t>1128                        Distribution through 30/04/2024</t>
    </r>
  </si>
  <si>
    <r>
      <rPr>
        <sz val="8"/>
        <rFont val="Arial"/>
        <family val="2"/>
      </rPr>
      <t>1062                 Gianna Swadling</t>
    </r>
  </si>
  <si>
    <r>
      <rPr>
        <sz val="8"/>
        <rFont val="Arial"/>
        <family val="2"/>
      </rPr>
      <t>1138                        Distribution through 30/04/2024</t>
    </r>
  </si>
  <si>
    <r>
      <rPr>
        <sz val="8"/>
        <rFont val="Arial"/>
        <family val="2"/>
      </rPr>
      <t>1207                        Distribution through 30/04/2024</t>
    </r>
  </si>
  <si>
    <r>
      <rPr>
        <sz val="8"/>
        <rFont val="Arial"/>
        <family val="2"/>
      </rPr>
      <t>1259                        Distribution through 30/04/2024</t>
    </r>
  </si>
  <si>
    <r>
      <rPr>
        <sz val="8"/>
        <rFont val="Arial"/>
        <family val="2"/>
      </rPr>
      <t>1063                 Darling Pty Ltd ATF Darling Super Fund</t>
    </r>
  </si>
  <si>
    <r>
      <rPr>
        <sz val="8"/>
        <rFont val="Arial"/>
        <family val="2"/>
      </rPr>
      <t>1139                        Distribution through 30/04/2024</t>
    </r>
  </si>
  <si>
    <r>
      <rPr>
        <sz val="8"/>
        <rFont val="Arial"/>
        <family val="2"/>
      </rPr>
      <t>1065                 Blue Arcadia Pty Ltd</t>
    </r>
  </si>
  <si>
    <r>
      <rPr>
        <sz val="8"/>
        <rFont val="Arial"/>
        <family val="2"/>
      </rPr>
      <t>1166                        Distribution through 30/04/2024</t>
    </r>
  </si>
  <si>
    <r>
      <rPr>
        <sz val="8"/>
        <rFont val="Arial"/>
        <family val="2"/>
      </rPr>
      <t>1209                        Distribution through 30/04/2024</t>
    </r>
  </si>
  <si>
    <r>
      <rPr>
        <sz val="8"/>
        <rFont val="Arial"/>
        <family val="2"/>
      </rPr>
      <t>1066                 Fletcher #2 Family Trust</t>
    </r>
  </si>
  <si>
    <r>
      <rPr>
        <sz val="8"/>
        <rFont val="Arial"/>
        <family val="2"/>
      </rPr>
      <t>1143                        Distribution through 30/04/2024</t>
    </r>
  </si>
  <si>
    <r>
      <rPr>
        <sz val="8"/>
        <rFont val="Arial"/>
        <family val="2"/>
      </rPr>
      <t>1067                 Nicole Dunn</t>
    </r>
  </si>
  <si>
    <r>
      <rPr>
        <sz val="8"/>
        <rFont val="Arial"/>
        <family val="2"/>
      </rPr>
      <t>1068                 Gatcorp Super Fund Pty Ltd ATF Gatcorp Superannuation Fund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</si>
  <si>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1146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</si>
  <si>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$6,115.07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</si>
  <si>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$6,115.07</t>
    </r>
  </si>
  <si>
    <r>
      <rPr>
        <sz val="8"/>
        <rFont val="Arial"/>
        <family val="2"/>
      </rPr>
      <t>Encina Trust</t>
    </r>
  </si>
  <si>
    <r>
      <rPr>
        <sz val="8"/>
        <rFont val="Arial"/>
        <family val="2"/>
      </rPr>
      <t>1147                        Distribution through 30/04/2024</t>
    </r>
  </si>
  <si>
    <r>
      <rPr>
        <sz val="8"/>
        <rFont val="Arial"/>
        <family val="2"/>
      </rPr>
      <t>1224                        Distribution through 30/04/2024</t>
    </r>
  </si>
  <si>
    <r>
      <rPr>
        <sz val="8"/>
        <rFont val="Arial"/>
        <family val="2"/>
      </rPr>
      <t>1070                 Shannan Whitney</t>
    </r>
  </si>
  <si>
    <r>
      <rPr>
        <sz val="8"/>
        <rFont val="Arial"/>
        <family val="2"/>
      </rPr>
      <t>1148                        Distribution through 30/04/2024</t>
    </r>
  </si>
  <si>
    <r>
      <rPr>
        <sz val="8"/>
        <rFont val="Arial"/>
        <family val="2"/>
      </rPr>
      <t>1071                 Carol James</t>
    </r>
  </si>
  <si>
    <r>
      <rPr>
        <sz val="8"/>
        <rFont val="Arial"/>
        <family val="2"/>
      </rPr>
      <t>1152                        Distribution through 30/04/2024</t>
    </r>
  </si>
  <si>
    <r>
      <rPr>
        <sz val="8"/>
        <rFont val="Arial"/>
        <family val="2"/>
      </rPr>
      <t>1072                 Anica Holgate</t>
    </r>
  </si>
  <si>
    <r>
      <rPr>
        <sz val="8"/>
        <rFont val="Arial"/>
        <family val="2"/>
      </rPr>
      <t>1153                        Distribution through 30/04/2024</t>
    </r>
  </si>
  <si>
    <r>
      <rPr>
        <sz val="8"/>
        <rFont val="Arial"/>
        <family val="2"/>
      </rPr>
      <t>1241                        Distribution through 30/04/2024</t>
    </r>
  </si>
  <si>
    <r>
      <rPr>
        <sz val="8"/>
        <rFont val="Arial"/>
        <family val="2"/>
      </rPr>
      <t>W &amp; CE Stevenson</t>
    </r>
  </si>
  <si>
    <r>
      <rPr>
        <sz val="8"/>
        <rFont val="Arial"/>
        <family val="2"/>
      </rPr>
      <t>1156                        Distribution through 30/04/2024</t>
    </r>
  </si>
  <si>
    <r>
      <rPr>
        <sz val="8"/>
        <rFont val="Arial"/>
        <family val="2"/>
      </rPr>
      <t>1075                 5114 Pty Ltd</t>
    </r>
  </si>
  <si>
    <r>
      <rPr>
        <sz val="8"/>
        <rFont val="Arial"/>
        <family val="2"/>
      </rPr>
      <t>1157                        Distribution through 30/04/2024</t>
    </r>
  </si>
  <si>
    <r>
      <rPr>
        <sz val="8"/>
        <rFont val="Arial"/>
        <family val="2"/>
      </rPr>
      <t>1076                 Julian Ludowici</t>
    </r>
  </si>
  <si>
    <r>
      <rPr>
        <sz val="8"/>
        <rFont val="Arial"/>
        <family val="2"/>
      </rPr>
      <t>1159                        Distribution through 30/04/2024</t>
    </r>
  </si>
  <si>
    <r>
      <rPr>
        <sz val="8"/>
        <rFont val="Arial"/>
        <family val="2"/>
      </rPr>
      <t>1080                 Selina Swadling</t>
    </r>
  </si>
  <si>
    <r>
      <rPr>
        <sz val="8"/>
        <rFont val="Arial"/>
        <family val="2"/>
      </rPr>
      <t>1187                        Distribution through 30/04/2024</t>
    </r>
  </si>
  <si>
    <r>
      <rPr>
        <sz val="8"/>
        <rFont val="Arial"/>
        <family val="2"/>
      </rPr>
      <t>1188                        Distribution through 30/04/2024</t>
    </r>
  </si>
  <si>
    <r>
      <rPr>
        <sz val="8"/>
        <rFont val="Arial"/>
        <family val="2"/>
      </rPr>
      <t>1288                        Distribution through 30/04/2024</t>
    </r>
  </si>
  <si>
    <r>
      <rPr>
        <sz val="8"/>
        <rFont val="Arial"/>
        <family val="2"/>
      </rPr>
      <t>1081                 Thrumster One Pty Ltd</t>
    </r>
  </si>
  <si>
    <r>
      <rPr>
        <sz val="8"/>
        <rFont val="Arial"/>
        <family val="2"/>
      </rPr>
      <t>1162                        Distribution through 30/04/2024</t>
    </r>
  </si>
  <si>
    <r>
      <rPr>
        <sz val="8"/>
        <rFont val="Arial"/>
        <family val="2"/>
      </rPr>
      <t>1208                        Distribution through 30/04/2024</t>
    </r>
  </si>
  <si>
    <r>
      <rPr>
        <sz val="8"/>
        <rFont val="Arial"/>
        <family val="2"/>
      </rPr>
      <t>1087                 G &amp; R Musico Services Pty Ltd ATF G &amp; R Musico Super Fund</t>
    </r>
  </si>
  <si>
    <r>
      <rPr>
        <sz val="8"/>
        <rFont val="Arial"/>
        <family val="2"/>
      </rPr>
      <t>1165                        Distribution through 30/04/2024</t>
    </r>
  </si>
  <si>
    <r>
      <rPr>
        <sz val="8"/>
        <rFont val="Arial"/>
        <family val="2"/>
      </rPr>
      <t>1088                 Giuseppe Musico</t>
    </r>
  </si>
  <si>
    <r>
      <rPr>
        <sz val="8"/>
        <rFont val="Arial"/>
        <family val="2"/>
      </rPr>
      <t>1167                        Distribution through 30/04/2024</t>
    </r>
  </si>
  <si>
    <r>
      <rPr>
        <sz val="8"/>
        <rFont val="Arial"/>
        <family val="2"/>
      </rPr>
      <t>1091                 PDV Holding Pty Ltd</t>
    </r>
  </si>
  <si>
    <r>
      <rPr>
        <sz val="8"/>
        <rFont val="Arial"/>
        <family val="2"/>
      </rPr>
      <t>1176                        Distribution through 30/04/2024</t>
    </r>
  </si>
  <si>
    <r>
      <rPr>
        <sz val="8"/>
        <rFont val="Arial"/>
        <family val="2"/>
      </rPr>
      <t>1096                 Macourt Children Settlement</t>
    </r>
  </si>
  <si>
    <r>
      <rPr>
        <sz val="8"/>
        <rFont val="Arial"/>
        <family val="2"/>
      </rPr>
      <t>1204                        Distribution through 30/04/2024</t>
    </r>
  </si>
  <si>
    <r>
      <rPr>
        <sz val="8"/>
        <rFont val="Arial"/>
        <family val="2"/>
      </rPr>
      <t>DCRM No.2 Super Fund</t>
    </r>
  </si>
  <si>
    <r>
      <rPr>
        <sz val="8"/>
        <rFont val="Arial"/>
        <family val="2"/>
      </rPr>
      <t>1100                 AKR Investments (NSW) Pty Ltd ATF The Andrew Rennie Family Trust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</si>
  <si>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1179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</si>
  <si>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$1,643.84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</si>
  <si>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$1,643.84</t>
    </r>
  </si>
  <si>
    <r>
      <rPr>
        <sz val="8"/>
        <rFont val="Arial"/>
        <family val="2"/>
      </rPr>
      <t>1101                 ADSG Barilaro Superfund</t>
    </r>
  </si>
  <si>
    <r>
      <rPr>
        <sz val="8"/>
        <rFont val="Arial"/>
        <family val="2"/>
      </rPr>
      <t>1102                 Moon Goddess Superannuation Fund</t>
    </r>
  </si>
  <si>
    <r>
      <rPr>
        <sz val="8"/>
        <rFont val="Arial"/>
        <family val="2"/>
      </rPr>
      <t>1103                 MLM</t>
    </r>
  </si>
  <si>
    <r>
      <rPr>
        <sz val="8"/>
        <rFont val="Arial"/>
        <family val="2"/>
      </rPr>
      <t>Legacy PL ATF MLM Family Legacy Trust</t>
    </r>
  </si>
  <si>
    <r>
      <rPr>
        <sz val="8"/>
        <rFont val="Arial"/>
        <family val="2"/>
      </rPr>
      <t>1105                 BCR</t>
    </r>
  </si>
  <si>
    <r>
      <rPr>
        <sz val="8"/>
        <rFont val="Arial"/>
        <family val="2"/>
      </rPr>
      <t>Custodians Pty Ltd ATF Thirgood Family Trust</t>
    </r>
  </si>
  <si>
    <r>
      <rPr>
        <sz val="8"/>
        <rFont val="Arial"/>
        <family val="2"/>
      </rPr>
      <t>Lynne Bissett</t>
    </r>
  </si>
  <si>
    <r>
      <rPr>
        <sz val="8"/>
        <rFont val="Arial"/>
        <family val="2"/>
      </rPr>
      <t>1197                        Distribution through 30/04/2024                                            $764.38</t>
    </r>
  </si>
  <si>
    <r>
      <rPr>
        <sz val="8"/>
        <rFont val="Arial"/>
        <family val="2"/>
      </rPr>
      <t>1107                 Biset Holdings Pty Ltd ATF Kelf &amp; Tactum Superannuation Fund</t>
    </r>
  </si>
  <si>
    <r>
      <rPr>
        <sz val="8"/>
        <rFont val="Arial"/>
        <family val="2"/>
      </rPr>
      <t>1198                        Distribution through 30/04/2024                                         $1,146.58</t>
    </r>
  </si>
  <si>
    <r>
      <rPr>
        <sz val="8"/>
        <rFont val="Arial"/>
        <family val="2"/>
      </rPr>
      <t>1229                        Distribution through 30/04/2024                                            $382.19</t>
    </r>
  </si>
  <si>
    <r>
      <rPr>
        <sz val="8"/>
        <rFont val="Arial"/>
        <family val="2"/>
      </rPr>
      <t>1277                        Distribution through 30/04/2024                                            $382.19</t>
    </r>
  </si>
  <si>
    <r>
      <rPr>
        <sz val="8"/>
        <rFont val="Arial"/>
        <family val="2"/>
      </rPr>
      <t>1108                 Jordan Schweickle</t>
    </r>
  </si>
  <si>
    <r>
      <rPr>
        <sz val="8"/>
        <rFont val="Arial"/>
        <family val="2"/>
      </rPr>
      <t>1216                        Distribution through 30/04/2024                                                $0.00</t>
    </r>
  </si>
  <si>
    <r>
      <rPr>
        <sz val="8"/>
        <rFont val="Arial"/>
        <family val="2"/>
      </rPr>
      <t>1110                 Walker United Investment Trust</t>
    </r>
  </si>
  <si>
    <r>
      <rPr>
        <sz val="8"/>
        <rFont val="Arial"/>
        <family val="2"/>
      </rPr>
      <t>1231                        Distribution through 30/04/2024                                                $0.00</t>
    </r>
  </si>
  <si>
    <r>
      <rPr>
        <sz val="8"/>
        <rFont val="Arial"/>
        <family val="2"/>
      </rPr>
      <t>1111                 Amagis Family Trust</t>
    </r>
  </si>
  <si>
    <r>
      <rPr>
        <sz val="8"/>
        <rFont val="Arial"/>
        <family val="2"/>
      </rPr>
      <t>1223                        Distribution through 30/04/2024                                         $1,972.60</t>
    </r>
  </si>
  <si>
    <r>
      <rPr>
        <sz val="8"/>
        <rFont val="Arial"/>
        <family val="2"/>
      </rPr>
      <t>1113                 Blue Pac Super Pty Ltd ATF Blue Pac Superannuation Fund</t>
    </r>
  </si>
  <si>
    <r>
      <rPr>
        <sz val="8"/>
        <rFont val="Arial"/>
        <family val="2"/>
      </rPr>
      <t>1217                        Distribution through 30/04/2024                                         $1,315.07</t>
    </r>
  </si>
  <si>
    <r>
      <rPr>
        <sz val="8"/>
        <rFont val="Arial"/>
        <family val="2"/>
      </rPr>
      <t>AGVJ Family Trust</t>
    </r>
  </si>
  <si>
    <r>
      <rPr>
        <sz val="8"/>
        <rFont val="Arial"/>
        <family val="2"/>
      </rPr>
      <t>1115                 Melissa Ball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</si>
  <si>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1219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</si>
  <si>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$2,876.71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</si>
  <si>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$2,876.71</t>
    </r>
  </si>
  <si>
    <r>
      <rPr>
        <sz val="8"/>
        <rFont val="Arial"/>
        <family val="2"/>
      </rPr>
      <t>1116                 IT Contracting Services Pty Ltd ATF Zabow Superannuation</t>
    </r>
  </si>
  <si>
    <r>
      <rPr>
        <sz val="8"/>
        <rFont val="Arial"/>
        <family val="2"/>
      </rPr>
      <t>1220                        Distribution through 30/04/2024</t>
    </r>
  </si>
  <si>
    <r>
      <rPr>
        <sz val="8"/>
        <rFont val="Arial"/>
        <family val="2"/>
      </rPr>
      <t>1250                        Distribution through 30/04/2024</t>
    </r>
  </si>
  <si>
    <r>
      <rPr>
        <sz val="8"/>
        <rFont val="Arial"/>
        <family val="2"/>
      </rPr>
      <t>Tina Pittiglio</t>
    </r>
  </si>
  <si>
    <r>
      <rPr>
        <sz val="8"/>
        <rFont val="Arial"/>
        <family val="2"/>
      </rPr>
      <t>1118                 Verinder</t>
    </r>
  </si>
  <si>
    <r>
      <rPr>
        <sz val="8"/>
        <rFont val="Arial"/>
        <family val="2"/>
      </rPr>
      <t>Superannuation Fund</t>
    </r>
  </si>
  <si>
    <r>
      <rPr>
        <sz val="8"/>
        <rFont val="Arial"/>
        <family val="2"/>
      </rPr>
      <t>1119                 M G Lubrano Super Fund</t>
    </r>
  </si>
  <si>
    <r>
      <rPr>
        <sz val="8"/>
        <rFont val="Arial"/>
        <family val="2"/>
      </rPr>
      <t>1227                        Distribution through 30/04/2024</t>
    </r>
  </si>
  <si>
    <r>
      <rPr>
        <sz val="8"/>
        <rFont val="Arial"/>
        <family val="2"/>
      </rPr>
      <t>1120                 Sally Bodor</t>
    </r>
  </si>
  <si>
    <r>
      <rPr>
        <sz val="8"/>
        <rFont val="Arial"/>
        <family val="2"/>
      </rPr>
      <t>1228                        Distribution through 30/04/2024</t>
    </r>
  </si>
  <si>
    <r>
      <rPr>
        <sz val="8"/>
        <rFont val="Arial"/>
        <family val="2"/>
      </rPr>
      <t>Stuart McKinlay</t>
    </r>
  </si>
  <si>
    <r>
      <rPr>
        <sz val="8"/>
        <rFont val="Arial"/>
        <family val="2"/>
      </rPr>
      <t>1234                        Distribution through 30/04/2024</t>
    </r>
  </si>
  <si>
    <r>
      <rPr>
        <sz val="8"/>
        <rFont val="Arial"/>
        <family val="2"/>
      </rPr>
      <t>1238                        Distribution through 30/04/2024</t>
    </r>
  </si>
  <si>
    <r>
      <rPr>
        <sz val="8"/>
        <rFont val="Arial"/>
        <family val="2"/>
      </rPr>
      <t>1124                 Jersey Lane Trust</t>
    </r>
  </si>
  <si>
    <r>
      <rPr>
        <sz val="8"/>
        <rFont val="Arial"/>
        <family val="2"/>
      </rPr>
      <t>1292                        Distribution from 25/03/2024 through 30/04/202</t>
    </r>
  </si>
  <si>
    <r>
      <rPr>
        <sz val="8"/>
        <rFont val="Arial"/>
        <family val="2"/>
      </rPr>
      <t>1126                 Predad</t>
    </r>
  </si>
  <si>
    <r>
      <rPr>
        <sz val="8"/>
        <rFont val="Arial"/>
        <family val="2"/>
      </rPr>
      <t>Pty Ltd ATF W J Smith Superannuation Fund</t>
    </r>
  </si>
  <si>
    <r>
      <rPr>
        <sz val="8"/>
        <rFont val="Arial"/>
        <family val="2"/>
      </rPr>
      <t>1126                 Predad Pty Ltd ATF W J Smith Superannuation Fund</t>
    </r>
  </si>
  <si>
    <r>
      <rPr>
        <b/>
        <sz val="8"/>
        <rFont val="Arial"/>
        <family val="2"/>
      </rPr>
      <t>Certificate</t>
    </r>
  </si>
  <si>
    <r>
      <rPr>
        <b/>
        <sz val="8"/>
        <rFont val="Arial"/>
        <family val="2"/>
      </rPr>
      <t>Pay</t>
    </r>
  </si>
  <si>
    <r>
      <rPr>
        <b/>
        <sz val="8"/>
        <rFont val="Arial"/>
        <family val="2"/>
      </rPr>
      <t>Interest</t>
    </r>
  </si>
  <si>
    <r>
      <rPr>
        <b/>
        <sz val="8"/>
        <rFont val="Arial"/>
        <family val="2"/>
      </rPr>
      <t>Principal</t>
    </r>
  </si>
  <si>
    <r>
      <rPr>
        <b/>
        <sz val="8"/>
        <rFont val="Arial"/>
        <family val="2"/>
      </rPr>
      <t>Number</t>
    </r>
  </si>
  <si>
    <r>
      <rPr>
        <b/>
        <sz val="8"/>
        <rFont val="Arial"/>
        <family val="2"/>
      </rPr>
      <t>Amount</t>
    </r>
  </si>
  <si>
    <r>
      <rPr>
        <b/>
        <sz val="8"/>
        <rFont val="Arial"/>
        <family val="2"/>
      </rPr>
      <t>Paid</t>
    </r>
  </si>
  <si>
    <r>
      <rPr>
        <b/>
        <sz val="8"/>
        <rFont val="Arial"/>
        <family val="2"/>
      </rPr>
      <t>Rollover</t>
    </r>
  </si>
  <si>
    <r>
      <rPr>
        <sz val="8"/>
        <rFont val="Arial"/>
        <family val="2"/>
      </rPr>
      <t>1129                 Adorben Pty Limited ATF Adorben Pty Limited Superannuation Fund</t>
    </r>
  </si>
  <si>
    <r>
      <rPr>
        <sz val="8"/>
        <rFont val="Arial"/>
        <family val="2"/>
      </rPr>
      <t>1251                        Distribution through 30/04/2024</t>
    </r>
  </si>
  <si>
    <r>
      <rPr>
        <sz val="8"/>
        <rFont val="Arial"/>
        <family val="2"/>
      </rPr>
      <t>1130                 Erasmo and Carmela Roppolo</t>
    </r>
  </si>
  <si>
    <r>
      <rPr>
        <sz val="8"/>
        <rFont val="Arial"/>
        <family val="2"/>
      </rPr>
      <t>1252                        Distribution through 30/04/2024</t>
    </r>
  </si>
  <si>
    <r>
      <rPr>
        <sz val="8"/>
        <rFont val="Arial"/>
        <family val="2"/>
      </rPr>
      <t>1132                 Viano Corporation Pty Ltd account no. 2</t>
    </r>
  </si>
  <si>
    <r>
      <rPr>
        <sz val="8"/>
        <rFont val="Arial"/>
        <family val="2"/>
      </rPr>
      <t>1255                        Distribution through 30/04/2024</t>
    </r>
  </si>
  <si>
    <r>
      <rPr>
        <sz val="8"/>
        <rFont val="Arial"/>
        <family val="2"/>
      </rPr>
      <t>1134                 Gerard Breslin</t>
    </r>
  </si>
  <si>
    <r>
      <rPr>
        <sz val="8"/>
        <rFont val="Arial"/>
        <family val="2"/>
      </rPr>
      <t>1260                        Distribution through 30/04/2024                                                $0.00</t>
    </r>
  </si>
  <si>
    <r>
      <rPr>
        <sz val="8"/>
        <rFont val="Arial"/>
        <family val="2"/>
      </rPr>
      <t>1135                 Kaufline Superannuation Pty Ltd ATF Kaufline Family Super Fund</t>
    </r>
  </si>
  <si>
    <r>
      <rPr>
        <sz val="8"/>
        <rFont val="Arial"/>
        <family val="2"/>
      </rPr>
      <t>1257                        Distribution through 30/04/2024                                            $986.30</t>
    </r>
  </si>
  <si>
    <r>
      <rPr>
        <sz val="8"/>
        <rFont val="Arial"/>
        <family val="2"/>
      </rPr>
      <t>1137                 BDH Superannuation Fund Pty Ltd ATF BDH Superannuation Fund</t>
    </r>
  </si>
  <si>
    <r>
      <rPr>
        <sz val="8"/>
        <rFont val="Arial"/>
        <family val="2"/>
      </rPr>
      <t>1261                        Distribution through 30/04/2024                                         $1,972.60</t>
    </r>
  </si>
  <si>
    <r>
      <rPr>
        <sz val="8"/>
        <rFont val="Arial"/>
        <family val="2"/>
      </rPr>
      <t>1138                 Grant Pudig</t>
    </r>
  </si>
  <si>
    <r>
      <rPr>
        <sz val="8"/>
        <rFont val="Arial"/>
        <family val="2"/>
      </rPr>
      <t>1262                        Distribution through 30/04/2024                                         $7,643.84</t>
    </r>
  </si>
  <si>
    <r>
      <rPr>
        <sz val="8"/>
        <rFont val="Arial"/>
        <family val="2"/>
      </rPr>
      <t>1139                 Winyard Superannuation Fund</t>
    </r>
  </si>
  <si>
    <r>
      <rPr>
        <sz val="8"/>
        <rFont val="Arial"/>
        <family val="2"/>
      </rPr>
      <t>1263                        Distribution through 30/04/2024                                            $986.30</t>
    </r>
  </si>
  <si>
    <r>
      <rPr>
        <sz val="8"/>
        <rFont val="Arial"/>
        <family val="2"/>
      </rPr>
      <t>1140                 4th Floor Office Pty Ltd ATF 4th Floor Trust</t>
    </r>
  </si>
  <si>
    <r>
      <rPr>
        <sz val="8"/>
        <rFont val="Arial"/>
        <family val="2"/>
      </rPr>
      <t>1264                        Distribution through 30/04/2024                                         $7,643.84</t>
    </r>
  </si>
  <si>
    <r>
      <rPr>
        <sz val="8"/>
        <rFont val="Arial"/>
        <family val="2"/>
      </rPr>
      <t>1141                 Gerard Breslin Account No.2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</si>
  <si>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1271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</si>
  <si>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$0.00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</si>
  <si>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$1,547.91</t>
    </r>
  </si>
  <si>
    <r>
      <rPr>
        <b/>
        <sz val="8"/>
        <rFont val="Arial"/>
        <family val="2"/>
      </rPr>
      <t xml:space="preserve">Principal Paid
</t>
    </r>
    <r>
      <rPr>
        <sz val="8"/>
        <rFont val="Arial"/>
        <family val="2"/>
      </rPr>
      <t>-$1,547.91</t>
    </r>
  </si>
  <si>
    <r>
      <rPr>
        <sz val="8"/>
        <rFont val="Arial"/>
        <family val="2"/>
      </rPr>
      <t>Dova Real Estate Pty Ltd</t>
    </r>
  </si>
  <si>
    <r>
      <rPr>
        <sz val="8"/>
        <rFont val="Arial"/>
        <family val="2"/>
      </rPr>
      <t>1268                        Distribution through 30/04/2024</t>
    </r>
  </si>
  <si>
    <r>
      <rPr>
        <sz val="8"/>
        <rFont val="Arial"/>
        <family val="2"/>
      </rPr>
      <t>1144                 Spalding Group Pty Ltd ATF SAN Super Fund</t>
    </r>
  </si>
  <si>
    <r>
      <rPr>
        <sz val="8"/>
        <rFont val="Arial"/>
        <family val="2"/>
      </rPr>
      <t>1269                        Distribution through 30/04/2024</t>
    </r>
  </si>
  <si>
    <r>
      <rPr>
        <sz val="8"/>
        <rFont val="Arial"/>
        <family val="2"/>
      </rPr>
      <t>Dr Zita Ballok</t>
    </r>
  </si>
  <si>
    <r>
      <rPr>
        <sz val="8"/>
        <rFont val="Arial"/>
        <family val="2"/>
      </rPr>
      <t>1272                        Distribution through 30/04/2024</t>
    </r>
  </si>
  <si>
    <r>
      <rPr>
        <sz val="8"/>
        <rFont val="Arial"/>
        <family val="2"/>
      </rPr>
      <t>1281                        Distribution through 30/04/2024</t>
    </r>
  </si>
  <si>
    <r>
      <rPr>
        <sz val="8"/>
        <rFont val="Arial"/>
        <family val="2"/>
      </rPr>
      <t>1146                 Janet Cecilie Smith</t>
    </r>
  </si>
  <si>
    <r>
      <rPr>
        <sz val="8"/>
        <rFont val="Arial"/>
        <family val="2"/>
      </rPr>
      <t>1273                        Distribution through 30/04/2024</t>
    </r>
  </si>
  <si>
    <r>
      <rPr>
        <sz val="8"/>
        <rFont val="Arial"/>
        <family val="2"/>
      </rPr>
      <t>John and Kerrie Barnett</t>
    </r>
  </si>
  <si>
    <r>
      <rPr>
        <sz val="8"/>
        <rFont val="Arial"/>
        <family val="2"/>
      </rPr>
      <t>1275                        Distribution through 30/04/2024                                            $287.67</t>
    </r>
  </si>
  <si>
    <r>
      <rPr>
        <sz val="8"/>
        <rFont val="Arial"/>
        <family val="2"/>
      </rPr>
      <t>1276                        Distribution through 30/04/2024                                                $0.00</t>
    </r>
  </si>
  <si>
    <r>
      <rPr>
        <sz val="8"/>
        <rFont val="Arial"/>
        <family val="2"/>
      </rPr>
      <t>1148                 J &amp; M Chan Pty Ltd ATF Chan Family Pension Fund Account no.2</t>
    </r>
  </si>
  <si>
    <r>
      <rPr>
        <sz val="8"/>
        <rFont val="Arial"/>
        <family val="2"/>
      </rPr>
      <t>1278                        Distribution through 30/04/2024                                            $382.19</t>
    </r>
  </si>
  <si>
    <r>
      <rPr>
        <sz val="8"/>
        <rFont val="Arial"/>
        <family val="2"/>
      </rPr>
      <t>Jan Breslin</t>
    </r>
  </si>
  <si>
    <r>
      <rPr>
        <sz val="8"/>
        <rFont val="Arial"/>
        <family val="2"/>
      </rPr>
      <t>1279                        Distribution through 30/04/2024</t>
    </r>
  </si>
  <si>
    <r>
      <rPr>
        <sz val="8"/>
        <rFont val="Arial"/>
        <family val="2"/>
      </rPr>
      <t>1291                        Distribution through 30/04/2024</t>
    </r>
  </si>
  <si>
    <r>
      <rPr>
        <sz val="8"/>
        <rFont val="Arial"/>
        <family val="2"/>
      </rPr>
      <t>1150                 Barry Donnelly</t>
    </r>
  </si>
  <si>
    <r>
      <rPr>
        <sz val="8"/>
        <rFont val="Arial"/>
        <family val="2"/>
      </rPr>
      <t>1280                        Distribution through 30/04/2024</t>
    </r>
  </si>
  <si>
    <r>
      <rPr>
        <sz val="8"/>
        <rFont val="Arial"/>
        <family val="2"/>
      </rPr>
      <t>1151                 Dovile Fraser</t>
    </r>
  </si>
  <si>
    <r>
      <rPr>
        <b/>
        <sz val="8"/>
        <rFont val="Arial"/>
        <family val="2"/>
      </rPr>
      <t xml:space="preserve">Certificate Number
</t>
    </r>
    <r>
      <rPr>
        <sz val="8"/>
        <rFont val="Arial"/>
        <family val="2"/>
      </rPr>
      <t>1283</t>
    </r>
  </si>
  <si>
    <r>
      <rPr>
        <b/>
        <sz val="8"/>
        <rFont val="Arial"/>
        <family val="2"/>
      </rPr>
      <t xml:space="preserve">Pay Amount
</t>
    </r>
    <r>
      <rPr>
        <sz val="8"/>
        <rFont val="Arial"/>
        <family val="2"/>
      </rPr>
      <t>$2,465.75</t>
    </r>
  </si>
  <si>
    <r>
      <rPr>
        <b/>
        <sz val="8"/>
        <rFont val="Arial"/>
        <family val="2"/>
      </rPr>
      <t xml:space="preserve">Interest Paid
</t>
    </r>
    <r>
      <rPr>
        <sz val="8"/>
        <rFont val="Arial"/>
        <family val="2"/>
      </rPr>
      <t>$2,465.75</t>
    </r>
  </si>
  <si>
    <r>
      <rPr>
        <sz val="8"/>
        <rFont val="Arial"/>
        <family val="2"/>
      </rPr>
      <t>Yartvest Pty Ltd</t>
    </r>
  </si>
  <si>
    <r>
      <rPr>
        <sz val="8"/>
        <rFont val="Arial"/>
        <family val="2"/>
      </rPr>
      <t>1282                        Distribution through 30/04/2024</t>
    </r>
  </si>
  <si>
    <r>
      <rPr>
        <sz val="8"/>
        <rFont val="Arial"/>
        <family val="2"/>
      </rPr>
      <t>1153                 Donnelly SFT Pty Limited ATF Donnelly Super Fund</t>
    </r>
  </si>
  <si>
    <r>
      <rPr>
        <sz val="8"/>
        <rFont val="Arial"/>
        <family val="2"/>
      </rPr>
      <t>1285                        Distribution through 30/04/2024</t>
    </r>
  </si>
  <si>
    <r>
      <rPr>
        <sz val="8"/>
        <rFont val="Arial"/>
        <family val="2"/>
      </rPr>
      <t>1154                 Richard Telleria</t>
    </r>
  </si>
  <si>
    <r>
      <rPr>
        <sz val="8"/>
        <rFont val="Arial"/>
        <family val="2"/>
      </rPr>
      <t>1286                        Distribution through 30/04/2024</t>
    </r>
  </si>
  <si>
    <r>
      <rPr>
        <sz val="8"/>
        <rFont val="Arial"/>
        <family val="2"/>
      </rPr>
      <t>1155                 Sobol Investments Pty Ltd ATF Sobol Family Trust</t>
    </r>
  </si>
  <si>
    <r>
      <rPr>
        <sz val="8"/>
        <rFont val="Arial"/>
        <family val="2"/>
      </rPr>
      <t>1287                        Distribution through 30/04/2024</t>
    </r>
  </si>
  <si>
    <r>
      <rPr>
        <sz val="8"/>
        <rFont val="Arial"/>
        <family val="2"/>
      </rPr>
      <t>1156                 Eleanor Spano</t>
    </r>
  </si>
  <si>
    <r>
      <rPr>
        <sz val="8"/>
        <rFont val="Arial"/>
        <family val="2"/>
      </rPr>
      <t>1289                        Distribution through 30/04/2024</t>
    </r>
  </si>
  <si>
    <r>
      <rPr>
        <sz val="8"/>
        <rFont val="Arial"/>
        <family val="2"/>
      </rPr>
      <t>1157                 TY OZ PTY LTD ATF TY OZ Trust</t>
    </r>
  </si>
  <si>
    <r>
      <rPr>
        <sz val="8"/>
        <rFont val="Arial"/>
        <family val="2"/>
      </rPr>
      <t>1293                        Distribution from 04/04/2024 through 30/04/202</t>
    </r>
  </si>
  <si>
    <r>
      <rPr>
        <sz val="8"/>
        <rFont val="Arial"/>
        <family val="2"/>
      </rPr>
      <t>Edward Cassidy</t>
    </r>
  </si>
  <si>
    <r>
      <rPr>
        <sz val="8"/>
        <rFont val="Arial"/>
        <family val="2"/>
      </rPr>
      <t>1297                        Distribution from 11/04/2024 through 30/04/202</t>
    </r>
  </si>
  <si>
    <r>
      <rPr>
        <sz val="8"/>
        <rFont val="Arial"/>
        <family val="2"/>
      </rPr>
      <t>1159                 Longroup Investments Pty Ltd</t>
    </r>
  </si>
  <si>
    <r>
      <rPr>
        <sz val="8"/>
        <rFont val="Arial"/>
        <family val="2"/>
      </rPr>
      <t>1298                        Distribution from 16/04/2024 through 30/04/202</t>
    </r>
  </si>
  <si>
    <t>Skoufa Pty Ltd ATF SRA Skoufis Super Fund</t>
  </si>
  <si>
    <t>ADSG Barilaro Superfund</t>
  </si>
  <si>
    <t>Moon Goddess Superannuation Fund</t>
  </si>
  <si>
    <t>NomadNominees Pty Ltd ATF Ray Superannuation Fund</t>
  </si>
  <si>
    <t>LevaSuper Pty Ltd ATF Leva Superannuation Fund</t>
  </si>
  <si>
    <t>John Barnett Nominees Pty Ltd ATF JGB SuperannunationFund</t>
  </si>
  <si>
    <t>Katy Andrews &amp; Daniel Andrews</t>
  </si>
  <si>
    <t>YDNASuper Pty Ltd ATF Andy &amp; Karen Super fund</t>
  </si>
  <si>
    <t>J &amp; MChan Pty Ltd ATF Chan Family Pension Fund</t>
  </si>
  <si>
    <t>TheVerinder Family Trust</t>
  </si>
  <si>
    <t>AllicantePty Ltd ATF Shannan Whitney Superannuation Fund</t>
  </si>
  <si>
    <t>SilvanaKoren</t>
  </si>
  <si>
    <t>Almeida Group Investments Pty Ltd</t>
  </si>
  <si>
    <t>MLMLegacy PL ATF MLM Family Legacy Trust</t>
  </si>
  <si>
    <t>BCRCustodians Pty Ltd ATF Thirgood Family Trust</t>
  </si>
  <si>
    <t>IT Contracting Services Pty Ltd ATF Zabow SuperannuationFund</t>
  </si>
  <si>
    <t>Tina Pittiglio</t>
  </si>
  <si>
    <t>VerinderSuperannuation Fund</t>
  </si>
  <si>
    <t>M G Lubrano Super Fund</t>
  </si>
  <si>
    <t>Sally Bodor</t>
  </si>
  <si>
    <t>PredadPty Ltd ATF W J Smith Superannuation Fund</t>
  </si>
  <si>
    <t>Adorben Pty Limited ATF Adorben Pty Limited Superannuation Fund</t>
  </si>
  <si>
    <t>Erasmo and Carmela Roppolo</t>
  </si>
  <si>
    <t>Gerard Breslin Account No.2</t>
  </si>
  <si>
    <t>Dova Real Estate Pty Ltd</t>
  </si>
  <si>
    <t>Spalding Group Pty Ltd ATF SAN Super Fund</t>
  </si>
  <si>
    <t>Jan Breslin</t>
  </si>
  <si>
    <t>Barry Donnelly</t>
  </si>
  <si>
    <t>Donnelly SFT Pty Limited ATF Donnelly Super Fund</t>
  </si>
  <si>
    <t>Sobol Investments Pty Ltd ATF Sobol Family Trust</t>
  </si>
  <si>
    <t>S NavPty Ltd</t>
  </si>
  <si>
    <t>Capspace Private Debt Fund</t>
  </si>
  <si>
    <r>
      <rPr>
        <sz val="8"/>
        <rFont val="Arial"/>
        <family val="2"/>
      </rPr>
      <t>1001                 Skoufa Pty Ltd ATF SRA Skoufis Super Fund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</si>
</sst>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00"/>
      <name val="Times New Roman"/>
      <family val="1"/>
    </font>
    <font>
      <sz val="11"/>
      <name val="Calibri"/>
      <family val="2"/>
      <scheme val="minor"/>
    </font>
    <font>
      <sz val="8"/>
      <name val="Arial"/>
      <family val="2"/>
    </font>
    <font>
      <b/>
      <vertAlign val="superscript"/>
      <sz val="8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4" fillId="0" borderId="0"/>
    <xf numFmtId="0" fontId="6" fillId="0" borderId="0"/>
    <xf numFmtId="0" fontId="8" fillId="0" borderId="0"/>
  </cellStyleXfs>
  <cellXfs count="11">
    <xf numFmtId="0" fontId="0" fillId="0" borderId="0" xfId="0"/>
    <xf numFmtId="0" fontId="3" fillId="0" borderId="0" xfId="0" applyFont="1"/>
    <xf numFmtId="0" fontId="1" fillId="0" borderId="0" xfId="0" applyFont="1"/>
    <xf numFmtId="0" fontId="9" fillId="0" borderId="0" xfId="0" applyFont="1"/>
    <xf numFmtId="0" fontId="7" fillId="0" borderId="0" xfId="0" applyFont="1"/>
    <xf numFmtId="1" fontId="0" fillId="0" borderId="0" xfId="0" applyNumberFormat="1"/>
    <xf numFmtId="1" fontId="0" fillId="0" borderId="0" xfId="0" quotePrefix="1" applyNumberFormat="1"/>
    <xf numFmtId="49" fontId="5" fillId="0" borderId="0" xfId="0" applyNumberFormat="1" applyFont="1" applyAlignment="1">
      <alignment horizontal="left" vertical="center"/>
    </xf>
    <xf numFmtId="49" fontId="2" fillId="0" borderId="0" xfId="0" applyNumberFormat="1" applyFont="1"/>
    <xf numFmtId="0" fontId="3" fillId="2" borderId="0" xfId="0" applyFont="1" applyFill="1"/>
    <xf numFmtId="49" fontId="2" fillId="0" borderId="0" xfId="0" applyNumberFormat="1" applyFont="1" applyAlignment="1">
      <alignment wrapText="1"/>
    </xf>
  </cellXfs>
  <cellStyles count="5">
    <cellStyle name="Normal" xfId="0" builtinId="0"/>
    <cellStyle name="Normal 2" xfId="1" xr:uid="{A2957591-6609-483F-82A5-0DD400BFDD5D}"/>
    <cellStyle name="Normal 3" xfId="2" xr:uid="{1652E6C6-F664-4BEA-A273-3D3F3F3ACD82}"/>
    <cellStyle name="Normal 4" xfId="3" xr:uid="{B10709A4-E9FB-4517-A144-F5027AF79431}"/>
    <cellStyle name="Normal 5" xfId="4" xr:uid="{3B167F50-03F6-4B1E-87E4-0389678707D8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125603</xdr:colOff>
      <xdr:row>20</xdr:row>
      <xdr:rowOff>15620</xdr:rowOff>
    </xdr:from>
    <xdr:ext cx="114300" cy="1143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27698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22</xdr:row>
      <xdr:rowOff>324103</xdr:rowOff>
    </xdr:from>
    <xdr:ext cx="2141855" cy="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668834" y="39512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22</xdr:row>
      <xdr:rowOff>323850</xdr:rowOff>
    </xdr:from>
    <xdr:ext cx="828675" cy="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48640" y="3950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22</xdr:row>
      <xdr:rowOff>323850</xdr:rowOff>
    </xdr:from>
    <xdr:ext cx="371475" cy="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837421" y="39509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24</xdr:row>
      <xdr:rowOff>21971</xdr:rowOff>
    </xdr:from>
    <xdr:ext cx="114300" cy="114300"/>
    <xdr:pic>
      <xdr:nvPicPr>
        <xdr:cNvPr id="6" name="image1.png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672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27</xdr:row>
      <xdr:rowOff>253</xdr:rowOff>
    </xdr:from>
    <xdr:ext cx="2141855" cy="0"/>
    <xdr:sp macro="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45920" y="483895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27</xdr:row>
      <xdr:rowOff>0</xdr:rowOff>
    </xdr:from>
    <xdr:ext cx="828675" cy="0"/>
    <xdr:sp macro="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50037" y="48387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27</xdr:row>
      <xdr:rowOff>0</xdr:rowOff>
    </xdr:from>
    <xdr:ext cx="371475" cy="0"/>
    <xdr:sp macro="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8854440" y="48387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29</xdr:row>
      <xdr:rowOff>15621</xdr:rowOff>
    </xdr:from>
    <xdr:ext cx="114300" cy="114300"/>
    <xdr:pic>
      <xdr:nvPicPr>
        <xdr:cNvPr id="10" name="image1.png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20484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31</xdr:row>
      <xdr:rowOff>324103</xdr:rowOff>
    </xdr:from>
    <xdr:ext cx="2141855" cy="0"/>
    <xdr:sp macro="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668834" y="58790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31</xdr:row>
      <xdr:rowOff>323850</xdr:rowOff>
    </xdr:from>
    <xdr:ext cx="828675" cy="0"/>
    <xdr:sp macro="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48640" y="58788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761</xdr:colOff>
      <xdr:row>31</xdr:row>
      <xdr:rowOff>323850</xdr:rowOff>
    </xdr:from>
    <xdr:ext cx="828675" cy="0"/>
    <xdr:sp macro="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7742681" y="58788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31</xdr:row>
      <xdr:rowOff>323850</xdr:rowOff>
    </xdr:from>
    <xdr:ext cx="371475" cy="0"/>
    <xdr:sp macro="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8837421" y="58788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38</xdr:row>
      <xdr:rowOff>2920</xdr:rowOff>
    </xdr:from>
    <xdr:ext cx="828675" cy="0"/>
    <xdr:sp macro="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7741920" y="68304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124459</xdr:colOff>
      <xdr:row>38</xdr:row>
      <xdr:rowOff>21970</xdr:rowOff>
    </xdr:from>
    <xdr:ext cx="114300" cy="114300"/>
    <xdr:pic>
      <xdr:nvPicPr>
        <xdr:cNvPr id="16" name="image1.png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899" y="6849490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44</xdr:row>
      <xdr:rowOff>15620</xdr:rowOff>
    </xdr:from>
    <xdr:ext cx="114300" cy="114300"/>
    <xdr:pic>
      <xdr:nvPicPr>
        <xdr:cNvPr id="17" name="image1.png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039480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47</xdr:row>
      <xdr:rowOff>260350</xdr:rowOff>
    </xdr:from>
    <xdr:ext cx="828675" cy="0"/>
    <xdr:sp macro="" textlink="">
      <xdr:nvSpPr>
        <xdr:cNvPr id="18" name="Shape 18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551688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47</xdr:row>
      <xdr:rowOff>260603</xdr:rowOff>
    </xdr:from>
    <xdr:ext cx="2141855" cy="0"/>
    <xdr:sp macro="" textlink="">
      <xdr:nvSpPr>
        <xdr:cNvPr id="19" name="Shape 19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645920" y="86349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47</xdr:row>
      <xdr:rowOff>260350</xdr:rowOff>
    </xdr:from>
    <xdr:ext cx="828675" cy="0"/>
    <xdr:sp macro="" textlink="">
      <xdr:nvSpPr>
        <xdr:cNvPr id="20" name="Shape 20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550037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47</xdr:row>
      <xdr:rowOff>260350</xdr:rowOff>
    </xdr:from>
    <xdr:ext cx="828675" cy="0"/>
    <xdr:sp macro="" textlink="">
      <xdr:nvSpPr>
        <xdr:cNvPr id="21" name="Shape 21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774192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47</xdr:row>
      <xdr:rowOff>260350</xdr:rowOff>
    </xdr:from>
    <xdr:ext cx="828675" cy="0"/>
    <xdr:sp macro="" textlink="">
      <xdr:nvSpPr>
        <xdr:cNvPr id="22" name="Shape 2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4419663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47</xdr:row>
      <xdr:rowOff>260350</xdr:rowOff>
    </xdr:from>
    <xdr:ext cx="828675" cy="0"/>
    <xdr:sp macro="" textlink="">
      <xdr:nvSpPr>
        <xdr:cNvPr id="23" name="Shape 23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662940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47</xdr:row>
      <xdr:rowOff>260350</xdr:rowOff>
    </xdr:from>
    <xdr:ext cx="371475" cy="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8854440" y="86347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</xdr:row>
      <xdr:rowOff>21970</xdr:rowOff>
    </xdr:from>
    <xdr:ext cx="114300" cy="114300"/>
    <xdr:pic>
      <xdr:nvPicPr>
        <xdr:cNvPr id="25" name="image1.png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84593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21468</xdr:colOff>
      <xdr:row>51</xdr:row>
      <xdr:rowOff>253</xdr:rowOff>
    </xdr:from>
    <xdr:ext cx="2141855" cy="0"/>
    <xdr:sp macro="" textlink="">
      <xdr:nvSpPr>
        <xdr:cNvPr id="26" name="Shape 26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667388" y="95176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51</xdr:row>
      <xdr:rowOff>0</xdr:rowOff>
    </xdr:from>
    <xdr:ext cx="828675" cy="0"/>
    <xdr:sp macro="" textlink="">
      <xdr:nvSpPr>
        <xdr:cNvPr id="27" name="Shape 27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489305" y="95173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</xdr:row>
      <xdr:rowOff>0</xdr:rowOff>
    </xdr:from>
    <xdr:ext cx="371475" cy="0"/>
    <xdr:sp macro="" textlink="">
      <xdr:nvSpPr>
        <xdr:cNvPr id="28" name="Shape 28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8854440" y="95173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52</xdr:row>
      <xdr:rowOff>15620</xdr:rowOff>
    </xdr:from>
    <xdr:ext cx="114300" cy="114300"/>
    <xdr:pic>
      <xdr:nvPicPr>
        <xdr:cNvPr id="29" name="image1.png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73112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21468</xdr:colOff>
      <xdr:row>55</xdr:row>
      <xdr:rowOff>6603</xdr:rowOff>
    </xdr:from>
    <xdr:ext cx="2141855" cy="0"/>
    <xdr:sp macro="" textlink="">
      <xdr:nvSpPr>
        <xdr:cNvPr id="30" name="Shape 30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667388" y="104002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55</xdr:row>
      <xdr:rowOff>6350</xdr:rowOff>
    </xdr:from>
    <xdr:ext cx="828675" cy="0"/>
    <xdr:sp macro="" textlink="">
      <xdr:nvSpPr>
        <xdr:cNvPr id="31" name="Shape 3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50037" y="104000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55</xdr:row>
      <xdr:rowOff>6350</xdr:rowOff>
    </xdr:from>
    <xdr:ext cx="371475" cy="0"/>
    <xdr:sp macro="" textlink="">
      <xdr:nvSpPr>
        <xdr:cNvPr id="32" name="Shape 32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8854440" y="104000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57</xdr:row>
      <xdr:rowOff>21970</xdr:rowOff>
    </xdr:from>
    <xdr:ext cx="114300" cy="114300"/>
    <xdr:pic>
      <xdr:nvPicPr>
        <xdr:cNvPr id="33" name="image1.png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76617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60</xdr:row>
      <xdr:rowOff>253</xdr:rowOff>
    </xdr:from>
    <xdr:ext cx="2141855" cy="0"/>
    <xdr:sp macro="" textlink="">
      <xdr:nvSpPr>
        <xdr:cNvPr id="34" name="Shape 34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650745" y="114378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60</xdr:row>
      <xdr:rowOff>0</xdr:rowOff>
    </xdr:from>
    <xdr:ext cx="828675" cy="0"/>
    <xdr:sp macro="" textlink="">
      <xdr:nvSpPr>
        <xdr:cNvPr id="35" name="Shape 3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550037" y="11437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60</xdr:row>
      <xdr:rowOff>0</xdr:rowOff>
    </xdr:from>
    <xdr:ext cx="371475" cy="0"/>
    <xdr:sp macro="" textlink="">
      <xdr:nvSpPr>
        <xdr:cNvPr id="36" name="Shape 36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8854440" y="11437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61</xdr:row>
      <xdr:rowOff>15620</xdr:rowOff>
    </xdr:from>
    <xdr:ext cx="114300" cy="114300"/>
    <xdr:pic>
      <xdr:nvPicPr>
        <xdr:cNvPr id="37" name="image1.png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165136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64</xdr:row>
      <xdr:rowOff>6603</xdr:rowOff>
    </xdr:from>
    <xdr:ext cx="2141855" cy="0"/>
    <xdr:sp macro="" textlink="">
      <xdr:nvSpPr>
        <xdr:cNvPr id="38" name="Shape 38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1650745" y="123205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64</xdr:row>
      <xdr:rowOff>6350</xdr:rowOff>
    </xdr:from>
    <xdr:ext cx="828675" cy="0"/>
    <xdr:sp macro="" textlink="">
      <xdr:nvSpPr>
        <xdr:cNvPr id="39" name="Shape 39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50037" y="123202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64</xdr:row>
      <xdr:rowOff>6350</xdr:rowOff>
    </xdr:from>
    <xdr:ext cx="371475" cy="0"/>
    <xdr:sp macro="" textlink="">
      <xdr:nvSpPr>
        <xdr:cNvPr id="40" name="Shape 40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8854440" y="123202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66</xdr:row>
      <xdr:rowOff>21970</xdr:rowOff>
    </xdr:from>
    <xdr:ext cx="114300" cy="114300"/>
    <xdr:pic>
      <xdr:nvPicPr>
        <xdr:cNvPr id="41" name="image1.png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268641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69</xdr:row>
      <xdr:rowOff>253</xdr:rowOff>
    </xdr:from>
    <xdr:ext cx="2141855" cy="0"/>
    <xdr:sp macro="" textlink="">
      <xdr:nvSpPr>
        <xdr:cNvPr id="42" name="Shape 42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1650745" y="133581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69</xdr:row>
      <xdr:rowOff>0</xdr:rowOff>
    </xdr:from>
    <xdr:ext cx="828675" cy="0"/>
    <xdr:sp macro="" textlink="">
      <xdr:nvSpPr>
        <xdr:cNvPr id="43" name="Shape 43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550037" y="133578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69</xdr:row>
      <xdr:rowOff>0</xdr:rowOff>
    </xdr:from>
    <xdr:ext cx="371475" cy="0"/>
    <xdr:sp macro="" textlink="">
      <xdr:nvSpPr>
        <xdr:cNvPr id="44" name="Shape 44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8854440" y="1335786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70</xdr:row>
      <xdr:rowOff>15621</xdr:rowOff>
    </xdr:from>
    <xdr:ext cx="114300" cy="114300"/>
    <xdr:pic>
      <xdr:nvPicPr>
        <xdr:cNvPr id="45" name="image1.png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357160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73</xdr:row>
      <xdr:rowOff>6603</xdr:rowOff>
    </xdr:from>
    <xdr:ext cx="2141855" cy="0"/>
    <xdr:sp macro="" textlink="">
      <xdr:nvSpPr>
        <xdr:cNvPr id="46" name="Shape 46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1650745" y="142407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73</xdr:row>
      <xdr:rowOff>6349</xdr:rowOff>
    </xdr:from>
    <xdr:ext cx="828675" cy="0"/>
    <xdr:sp macro="" textlink="">
      <xdr:nvSpPr>
        <xdr:cNvPr id="47" name="Shape 47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550037" y="1424050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73</xdr:row>
      <xdr:rowOff>6349</xdr:rowOff>
    </xdr:from>
    <xdr:ext cx="371475" cy="0"/>
    <xdr:sp macro="" textlink="">
      <xdr:nvSpPr>
        <xdr:cNvPr id="48" name="Shape 48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8854440" y="1424050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74</xdr:row>
      <xdr:rowOff>21971</xdr:rowOff>
    </xdr:from>
    <xdr:ext cx="114300" cy="114300"/>
    <xdr:pic>
      <xdr:nvPicPr>
        <xdr:cNvPr id="49" name="image1.png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44542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77</xdr:row>
      <xdr:rowOff>253</xdr:rowOff>
    </xdr:from>
    <xdr:ext cx="2141855" cy="0"/>
    <xdr:sp macro="" textlink="">
      <xdr:nvSpPr>
        <xdr:cNvPr id="50" name="Shape 50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1646173" y="1512595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77</xdr:row>
      <xdr:rowOff>0</xdr:rowOff>
    </xdr:from>
    <xdr:ext cx="828675" cy="0"/>
    <xdr:sp macro="" textlink="">
      <xdr:nvSpPr>
        <xdr:cNvPr id="51" name="Shape 5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89305" y="151257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77</xdr:row>
      <xdr:rowOff>0</xdr:rowOff>
    </xdr:from>
    <xdr:ext cx="371475" cy="0"/>
    <xdr:sp macro="" textlink="">
      <xdr:nvSpPr>
        <xdr:cNvPr id="52" name="Shape 5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8854440" y="151257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79</xdr:row>
      <xdr:rowOff>15621</xdr:rowOff>
    </xdr:from>
    <xdr:ext cx="114300" cy="114300"/>
    <xdr:pic>
      <xdr:nvPicPr>
        <xdr:cNvPr id="53" name="image1.png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549184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82</xdr:row>
      <xdr:rowOff>6603</xdr:rowOff>
    </xdr:from>
    <xdr:ext cx="2141855" cy="0"/>
    <xdr:sp macro="" textlink="">
      <xdr:nvSpPr>
        <xdr:cNvPr id="54" name="Shape 54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1646173" y="1616100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82</xdr:row>
      <xdr:rowOff>6349</xdr:rowOff>
    </xdr:from>
    <xdr:ext cx="828675" cy="0"/>
    <xdr:sp macro="" textlink="">
      <xdr:nvSpPr>
        <xdr:cNvPr id="55" name="Shape 55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>
          <a:off x="550037" y="161607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82</xdr:row>
      <xdr:rowOff>6349</xdr:rowOff>
    </xdr:from>
    <xdr:ext cx="371475" cy="0"/>
    <xdr:sp macro="" textlink="">
      <xdr:nvSpPr>
        <xdr:cNvPr id="56" name="Shape 56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>
          <a:off x="8854440" y="1616074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85</xdr:row>
      <xdr:rowOff>21971</xdr:rowOff>
    </xdr:from>
    <xdr:ext cx="114300" cy="114300"/>
    <xdr:pic>
      <xdr:nvPicPr>
        <xdr:cNvPr id="57" name="image1.png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667929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88</xdr:row>
      <xdr:rowOff>260604</xdr:rowOff>
    </xdr:from>
    <xdr:ext cx="2141855" cy="0"/>
    <xdr:sp macro="" textlink="">
      <xdr:nvSpPr>
        <xdr:cNvPr id="58" name="Shape 58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1613874" y="1726844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88</xdr:row>
      <xdr:rowOff>260350</xdr:rowOff>
    </xdr:from>
    <xdr:ext cx="828675" cy="0"/>
    <xdr:sp macro="" textlink="">
      <xdr:nvSpPr>
        <xdr:cNvPr id="59" name="Shape 59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0037" y="172681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63337</xdr:colOff>
      <xdr:row>88</xdr:row>
      <xdr:rowOff>260350</xdr:rowOff>
    </xdr:from>
    <xdr:ext cx="828675" cy="0"/>
    <xdr:sp macro="" textlink="">
      <xdr:nvSpPr>
        <xdr:cNvPr id="60" name="Shape 60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4406737" y="172681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88</xdr:row>
      <xdr:rowOff>260350</xdr:rowOff>
    </xdr:from>
    <xdr:ext cx="371475" cy="0"/>
    <xdr:sp macro="" textlink="">
      <xdr:nvSpPr>
        <xdr:cNvPr id="61" name="Shape 61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37421" y="1726819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91</xdr:row>
      <xdr:rowOff>327279</xdr:rowOff>
    </xdr:from>
    <xdr:ext cx="2141855" cy="0"/>
    <xdr:sp macro="" textlink="">
      <xdr:nvSpPr>
        <xdr:cNvPr id="62" name="Shape 62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1650745" y="1783803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91</xdr:row>
      <xdr:rowOff>327025</xdr:rowOff>
    </xdr:from>
    <xdr:ext cx="828675" cy="0"/>
    <xdr:sp macro="" textlink="">
      <xdr:nvSpPr>
        <xdr:cNvPr id="63" name="Shape 63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550037" y="1783778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91</xdr:row>
      <xdr:rowOff>327025</xdr:rowOff>
    </xdr:from>
    <xdr:ext cx="828675" cy="0"/>
    <xdr:sp macro="" textlink="">
      <xdr:nvSpPr>
        <xdr:cNvPr id="64" name="Shape 64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4403808" y="1783778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91</xdr:row>
      <xdr:rowOff>327025</xdr:rowOff>
    </xdr:from>
    <xdr:ext cx="371475" cy="0"/>
    <xdr:sp macro="" textlink="">
      <xdr:nvSpPr>
        <xdr:cNvPr id="65" name="Shape 65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8854440" y="1783778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93</xdr:row>
      <xdr:rowOff>6350</xdr:rowOff>
    </xdr:from>
    <xdr:ext cx="828675" cy="0"/>
    <xdr:sp macro="" textlink="">
      <xdr:nvSpPr>
        <xdr:cNvPr id="66" name="Shape 6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24807" y="180352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93</xdr:row>
      <xdr:rowOff>25146</xdr:rowOff>
    </xdr:from>
    <xdr:ext cx="114300" cy="114300"/>
    <xdr:pic>
      <xdr:nvPicPr>
        <xdr:cNvPr id="67" name="image1.png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805406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96</xdr:row>
      <xdr:rowOff>3429</xdr:rowOff>
    </xdr:from>
    <xdr:ext cx="2141855" cy="0"/>
    <xdr:sp macro="" textlink="">
      <xdr:nvSpPr>
        <xdr:cNvPr id="68" name="Shape 68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>
        <a:xfrm>
          <a:off x="1650745" y="1872576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96</xdr:row>
      <xdr:rowOff>3175</xdr:rowOff>
    </xdr:from>
    <xdr:ext cx="828675" cy="0"/>
    <xdr:sp macro="" textlink="">
      <xdr:nvSpPr>
        <xdr:cNvPr id="69" name="Shape 69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>
        <a:xfrm>
          <a:off x="550037" y="187255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96</xdr:row>
      <xdr:rowOff>3175</xdr:rowOff>
    </xdr:from>
    <xdr:ext cx="828675" cy="0"/>
    <xdr:sp macro="" textlink="">
      <xdr:nvSpPr>
        <xdr:cNvPr id="70" name="Shape 70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>
        <a:xfrm>
          <a:off x="4403808" y="187255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96</xdr:row>
      <xdr:rowOff>3175</xdr:rowOff>
    </xdr:from>
    <xdr:ext cx="371475" cy="0"/>
    <xdr:sp macro="" textlink="">
      <xdr:nvSpPr>
        <xdr:cNvPr id="71" name="Shape 71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>
        <a:xfrm>
          <a:off x="8854440" y="1872551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97</xdr:row>
      <xdr:rowOff>0</xdr:rowOff>
    </xdr:from>
    <xdr:ext cx="828675" cy="0"/>
    <xdr:sp macro="" textlink="">
      <xdr:nvSpPr>
        <xdr:cNvPr id="72" name="Shape 72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>
        <a:xfrm>
          <a:off x="4424807" y="189204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97</xdr:row>
      <xdr:rowOff>18796</xdr:rowOff>
    </xdr:from>
    <xdr:ext cx="114300" cy="114300"/>
    <xdr:pic>
      <xdr:nvPicPr>
        <xdr:cNvPr id="73" name="image1.png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893925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99</xdr:row>
      <xdr:rowOff>327279</xdr:rowOff>
    </xdr:from>
    <xdr:ext cx="2141855" cy="0"/>
    <xdr:sp macro="" textlink="">
      <xdr:nvSpPr>
        <xdr:cNvPr id="74" name="Shape 74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650745" y="1961349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99</xdr:row>
      <xdr:rowOff>327025</xdr:rowOff>
    </xdr:from>
    <xdr:ext cx="828675" cy="0"/>
    <xdr:sp macro="" textlink="">
      <xdr:nvSpPr>
        <xdr:cNvPr id="75" name="Shape 75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550037" y="196132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99</xdr:row>
      <xdr:rowOff>327025</xdr:rowOff>
    </xdr:from>
    <xdr:ext cx="828675" cy="0"/>
    <xdr:sp macro="" textlink="">
      <xdr:nvSpPr>
        <xdr:cNvPr id="76" name="Shape 76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4403808" y="196132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99</xdr:row>
      <xdr:rowOff>327025</xdr:rowOff>
    </xdr:from>
    <xdr:ext cx="371475" cy="0"/>
    <xdr:sp macro="" textlink="">
      <xdr:nvSpPr>
        <xdr:cNvPr id="77" name="Shape 77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8854440" y="1961324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104</xdr:row>
      <xdr:rowOff>6350</xdr:rowOff>
    </xdr:from>
    <xdr:ext cx="828675" cy="0"/>
    <xdr:sp macro="" textlink="">
      <xdr:nvSpPr>
        <xdr:cNvPr id="78" name="Shape 78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4424807" y="202603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104</xdr:row>
      <xdr:rowOff>25146</xdr:rowOff>
    </xdr:from>
    <xdr:ext cx="114300" cy="114300"/>
    <xdr:pic>
      <xdr:nvPicPr>
        <xdr:cNvPr id="79" name="image1.png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0279106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106</xdr:row>
      <xdr:rowOff>320929</xdr:rowOff>
    </xdr:from>
    <xdr:ext cx="2141855" cy="0"/>
    <xdr:sp macro="" textlink="">
      <xdr:nvSpPr>
        <xdr:cNvPr id="80" name="Shape 80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613874" y="209558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164316</xdr:colOff>
      <xdr:row>106</xdr:row>
      <xdr:rowOff>320675</xdr:rowOff>
    </xdr:from>
    <xdr:ext cx="828675" cy="0"/>
    <xdr:sp macro="" textlink="">
      <xdr:nvSpPr>
        <xdr:cNvPr id="81" name="Shape 81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484356" y="209556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106</xdr:row>
      <xdr:rowOff>320675</xdr:rowOff>
    </xdr:from>
    <xdr:ext cx="371475" cy="0"/>
    <xdr:sp macro="" textlink="">
      <xdr:nvSpPr>
        <xdr:cNvPr id="82" name="Shape 82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8837421" y="209556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111</xdr:row>
      <xdr:rowOff>18796</xdr:rowOff>
    </xdr:from>
    <xdr:ext cx="114300" cy="114300"/>
    <xdr:pic>
      <xdr:nvPicPr>
        <xdr:cNvPr id="83" name="image1.png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162911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113</xdr:row>
      <xdr:rowOff>327279</xdr:rowOff>
    </xdr:from>
    <xdr:ext cx="2141855" cy="0"/>
    <xdr:sp macro="" textlink="">
      <xdr:nvSpPr>
        <xdr:cNvPr id="84" name="Shape 84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>
        <a:xfrm>
          <a:off x="1650745" y="2230335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113</xdr:row>
      <xdr:rowOff>327025</xdr:rowOff>
    </xdr:from>
    <xdr:ext cx="828675" cy="0"/>
    <xdr:sp macro="" textlink="">
      <xdr:nvSpPr>
        <xdr:cNvPr id="85" name="Shape 85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>
        <a:xfrm>
          <a:off x="550037" y="223031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113</xdr:row>
      <xdr:rowOff>327025</xdr:rowOff>
    </xdr:from>
    <xdr:ext cx="371475" cy="0"/>
    <xdr:sp macro="" textlink="">
      <xdr:nvSpPr>
        <xdr:cNvPr id="86" name="Shape 86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>
        <a:xfrm>
          <a:off x="8854440" y="2230310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115</xdr:row>
      <xdr:rowOff>25146</xdr:rowOff>
    </xdr:from>
    <xdr:ext cx="114300" cy="114300"/>
    <xdr:pic>
      <xdr:nvPicPr>
        <xdr:cNvPr id="87" name="image1.png">
          <a:extLs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251938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118</xdr:row>
      <xdr:rowOff>3429</xdr:rowOff>
    </xdr:from>
    <xdr:ext cx="2141855" cy="0"/>
    <xdr:sp macro="" textlink="">
      <xdr:nvSpPr>
        <xdr:cNvPr id="88" name="Shape 88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>
        <a:xfrm>
          <a:off x="1650745" y="231910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118</xdr:row>
      <xdr:rowOff>3175</xdr:rowOff>
    </xdr:from>
    <xdr:ext cx="828675" cy="0"/>
    <xdr:sp macro="" textlink="">
      <xdr:nvSpPr>
        <xdr:cNvPr id="89" name="Shape 89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>
        <a:xfrm>
          <a:off x="550037" y="231908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118</xdr:row>
      <xdr:rowOff>3175</xdr:rowOff>
    </xdr:from>
    <xdr:ext cx="371475" cy="0"/>
    <xdr:sp macro="" textlink="">
      <xdr:nvSpPr>
        <xdr:cNvPr id="90" name="Shape 90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>
        <a:xfrm>
          <a:off x="8854440" y="231908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120</xdr:row>
      <xdr:rowOff>18796</xdr:rowOff>
    </xdr:from>
    <xdr:ext cx="114300" cy="114300"/>
    <xdr:pic>
      <xdr:nvPicPr>
        <xdr:cNvPr id="91" name="image1.png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3556976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122</xdr:row>
      <xdr:rowOff>327279</xdr:rowOff>
    </xdr:from>
    <xdr:ext cx="2141855" cy="0"/>
    <xdr:sp macro="" textlink="">
      <xdr:nvSpPr>
        <xdr:cNvPr id="92" name="Shape 92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>
        <a:xfrm>
          <a:off x="1613874" y="2423121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164316</xdr:colOff>
      <xdr:row>122</xdr:row>
      <xdr:rowOff>327025</xdr:rowOff>
    </xdr:from>
    <xdr:ext cx="828675" cy="0"/>
    <xdr:sp macro="" textlink="">
      <xdr:nvSpPr>
        <xdr:cNvPr id="93" name="Shape 93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>
        <a:xfrm>
          <a:off x="484356" y="242309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122</xdr:row>
      <xdr:rowOff>327025</xdr:rowOff>
    </xdr:from>
    <xdr:ext cx="371475" cy="0"/>
    <xdr:sp macro="" textlink="">
      <xdr:nvSpPr>
        <xdr:cNvPr id="94" name="Shape 94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8854440" y="2423096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125</xdr:row>
      <xdr:rowOff>25146</xdr:rowOff>
    </xdr:from>
    <xdr:ext cx="114300" cy="114300"/>
    <xdr:pic>
      <xdr:nvPicPr>
        <xdr:cNvPr id="95" name="image1.png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459202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128</xdr:row>
      <xdr:rowOff>3429</xdr:rowOff>
    </xdr:from>
    <xdr:ext cx="2141855" cy="0"/>
    <xdr:sp macro="" textlink="">
      <xdr:nvSpPr>
        <xdr:cNvPr id="96" name="Shape 96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>
        <a:xfrm>
          <a:off x="1650745" y="2526372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128</xdr:row>
      <xdr:rowOff>3175</xdr:rowOff>
    </xdr:from>
    <xdr:ext cx="828675" cy="0"/>
    <xdr:sp macro="" textlink="">
      <xdr:nvSpPr>
        <xdr:cNvPr id="97" name="Shape 97">
          <a:extLs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>
        <a:xfrm>
          <a:off x="550037" y="25263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128</xdr:row>
      <xdr:rowOff>3175</xdr:rowOff>
    </xdr:from>
    <xdr:ext cx="371475" cy="0"/>
    <xdr:sp macro="" textlink="">
      <xdr:nvSpPr>
        <xdr:cNvPr id="98" name="Shape 98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8854440" y="2526347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16002</xdr:colOff>
      <xdr:row>131</xdr:row>
      <xdr:rowOff>254253</xdr:rowOff>
    </xdr:from>
    <xdr:ext cx="2141855" cy="0"/>
    <xdr:sp macro="" textlink="">
      <xdr:nvSpPr>
        <xdr:cNvPr id="99" name="Shape 99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1661922" y="258803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131</xdr:row>
      <xdr:rowOff>253999</xdr:rowOff>
    </xdr:from>
    <xdr:ext cx="828675" cy="0"/>
    <xdr:sp macro="" textlink="">
      <xdr:nvSpPr>
        <xdr:cNvPr id="100" name="Shape 100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550037" y="2588005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131</xdr:row>
      <xdr:rowOff>253999</xdr:rowOff>
    </xdr:from>
    <xdr:ext cx="371475" cy="0"/>
    <xdr:sp macro="" textlink="">
      <xdr:nvSpPr>
        <xdr:cNvPr id="101" name="Shape 101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8854440" y="2588005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135</xdr:row>
      <xdr:rowOff>21971</xdr:rowOff>
    </xdr:from>
    <xdr:ext cx="114300" cy="114300"/>
    <xdr:pic>
      <xdr:nvPicPr>
        <xdr:cNvPr id="102" name="image1.png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643289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16002</xdr:colOff>
      <xdr:row>138</xdr:row>
      <xdr:rowOff>255</xdr:rowOff>
    </xdr:from>
    <xdr:ext cx="2141855" cy="0"/>
    <xdr:sp macro="" textlink="">
      <xdr:nvSpPr>
        <xdr:cNvPr id="103" name="Shape 103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1661922" y="2710459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138</xdr:row>
      <xdr:rowOff>1</xdr:rowOff>
    </xdr:from>
    <xdr:ext cx="828675" cy="0"/>
    <xdr:sp macro="" textlink="">
      <xdr:nvSpPr>
        <xdr:cNvPr id="104" name="Shape 104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>
          <a:off x="550037" y="2710434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138</xdr:row>
      <xdr:rowOff>1</xdr:rowOff>
    </xdr:from>
    <xdr:ext cx="371475" cy="0"/>
    <xdr:sp macro="" textlink="">
      <xdr:nvSpPr>
        <xdr:cNvPr id="105" name="Shape 105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8854440" y="2710434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140</xdr:row>
      <xdr:rowOff>15621</xdr:rowOff>
    </xdr:from>
    <xdr:ext cx="114300" cy="114300"/>
    <xdr:pic>
      <xdr:nvPicPr>
        <xdr:cNvPr id="106" name="image1.png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747048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142</xdr:row>
      <xdr:rowOff>324105</xdr:rowOff>
    </xdr:from>
    <xdr:ext cx="2141855" cy="0"/>
    <xdr:sp macro="" textlink="">
      <xdr:nvSpPr>
        <xdr:cNvPr id="107" name="Shape 107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/>
      </xdr:nvSpPr>
      <xdr:spPr>
        <a:xfrm>
          <a:off x="1613874" y="2814472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142</xdr:row>
      <xdr:rowOff>323851</xdr:rowOff>
    </xdr:from>
    <xdr:ext cx="828675" cy="0"/>
    <xdr:sp macro="" textlink="">
      <xdr:nvSpPr>
        <xdr:cNvPr id="108" name="Shape 108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SpPr/>
      </xdr:nvSpPr>
      <xdr:spPr>
        <a:xfrm>
          <a:off x="489305" y="281444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142</xdr:row>
      <xdr:rowOff>323851</xdr:rowOff>
    </xdr:from>
    <xdr:ext cx="371475" cy="0"/>
    <xdr:sp macro="" textlink="">
      <xdr:nvSpPr>
        <xdr:cNvPr id="109" name="Shape 109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8837421" y="2814447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144</xdr:row>
      <xdr:rowOff>21971</xdr:rowOff>
    </xdr:from>
    <xdr:ext cx="114300" cy="114300"/>
    <xdr:pic>
      <xdr:nvPicPr>
        <xdr:cNvPr id="110" name="image1.png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83607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3165</xdr:colOff>
      <xdr:row>147</xdr:row>
      <xdr:rowOff>255</xdr:rowOff>
    </xdr:from>
    <xdr:ext cx="2141855" cy="0"/>
    <xdr:sp macro="" textlink="">
      <xdr:nvSpPr>
        <xdr:cNvPr id="111" name="Shape 111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/>
      </xdr:nvSpPr>
      <xdr:spPr>
        <a:xfrm>
          <a:off x="1649085" y="2903245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147</xdr:row>
      <xdr:rowOff>1</xdr:rowOff>
    </xdr:from>
    <xdr:ext cx="828675" cy="0"/>
    <xdr:sp macro="" textlink="">
      <xdr:nvSpPr>
        <xdr:cNvPr id="112" name="Shape 112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/>
      </xdr:nvSpPr>
      <xdr:spPr>
        <a:xfrm>
          <a:off x="550037" y="2903220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147</xdr:row>
      <xdr:rowOff>1</xdr:rowOff>
    </xdr:from>
    <xdr:ext cx="371475" cy="0"/>
    <xdr:sp macro="" textlink="">
      <xdr:nvSpPr>
        <xdr:cNvPr id="113" name="Shape 113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/>
      </xdr:nvSpPr>
      <xdr:spPr>
        <a:xfrm>
          <a:off x="8854440" y="2903220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149</xdr:row>
      <xdr:rowOff>15621</xdr:rowOff>
    </xdr:from>
    <xdr:ext cx="114300" cy="114300"/>
    <xdr:pic>
      <xdr:nvPicPr>
        <xdr:cNvPr id="114" name="image1.png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939834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151</xdr:row>
      <xdr:rowOff>324105</xdr:rowOff>
    </xdr:from>
    <xdr:ext cx="2141855" cy="0"/>
    <xdr:sp macro="" textlink="">
      <xdr:nvSpPr>
        <xdr:cNvPr id="115" name="Shape 115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/>
      </xdr:nvSpPr>
      <xdr:spPr>
        <a:xfrm>
          <a:off x="1613874" y="300725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151</xdr:row>
      <xdr:rowOff>323851</xdr:rowOff>
    </xdr:from>
    <xdr:ext cx="828675" cy="0"/>
    <xdr:sp macro="" textlink="">
      <xdr:nvSpPr>
        <xdr:cNvPr id="116" name="Shape 116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489305" y="30072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761</xdr:colOff>
      <xdr:row>151</xdr:row>
      <xdr:rowOff>323851</xdr:rowOff>
    </xdr:from>
    <xdr:ext cx="828675" cy="0"/>
    <xdr:sp macro="" textlink="">
      <xdr:nvSpPr>
        <xdr:cNvPr id="117" name="Shape 117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7742681" y="30072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151</xdr:row>
      <xdr:rowOff>323851</xdr:rowOff>
    </xdr:from>
    <xdr:ext cx="371475" cy="0"/>
    <xdr:sp macro="" textlink="">
      <xdr:nvSpPr>
        <xdr:cNvPr id="118" name="Shape 118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/>
      </xdr:nvSpPr>
      <xdr:spPr>
        <a:xfrm>
          <a:off x="8837421" y="300723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153</xdr:row>
      <xdr:rowOff>2921</xdr:rowOff>
    </xdr:from>
    <xdr:ext cx="828675" cy="0"/>
    <xdr:sp macro="" textlink="">
      <xdr:nvSpPr>
        <xdr:cNvPr id="119" name="Shape 119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/>
      </xdr:nvSpPr>
      <xdr:spPr>
        <a:xfrm>
          <a:off x="7741920" y="302695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124459</xdr:colOff>
      <xdr:row>153</xdr:row>
      <xdr:rowOff>21971</xdr:rowOff>
    </xdr:from>
    <xdr:ext cx="114300" cy="114300"/>
    <xdr:pic>
      <xdr:nvPicPr>
        <xdr:cNvPr id="120" name="image1.png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899" y="3028861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159</xdr:row>
      <xdr:rowOff>15621</xdr:rowOff>
    </xdr:from>
    <xdr:ext cx="114300" cy="114300"/>
    <xdr:pic>
      <xdr:nvPicPr>
        <xdr:cNvPr id="121" name="image1.png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147860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161</xdr:row>
      <xdr:rowOff>324105</xdr:rowOff>
    </xdr:from>
    <xdr:ext cx="2141855" cy="0"/>
    <xdr:sp macro="" textlink="">
      <xdr:nvSpPr>
        <xdr:cNvPr id="122" name="Shape 122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/>
      </xdr:nvSpPr>
      <xdr:spPr>
        <a:xfrm>
          <a:off x="1613874" y="3215284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161</xdr:row>
      <xdr:rowOff>323851</xdr:rowOff>
    </xdr:from>
    <xdr:ext cx="828675" cy="0"/>
    <xdr:sp macro="" textlink="">
      <xdr:nvSpPr>
        <xdr:cNvPr id="123" name="Shape 123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SpPr/>
      </xdr:nvSpPr>
      <xdr:spPr>
        <a:xfrm>
          <a:off x="489305" y="3215259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161</xdr:row>
      <xdr:rowOff>323851</xdr:rowOff>
    </xdr:from>
    <xdr:ext cx="371475" cy="0"/>
    <xdr:sp macro="" textlink="">
      <xdr:nvSpPr>
        <xdr:cNvPr id="124" name="Shape 124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SpPr/>
      </xdr:nvSpPr>
      <xdr:spPr>
        <a:xfrm>
          <a:off x="8837421" y="3215259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165</xdr:row>
      <xdr:rowOff>21971</xdr:rowOff>
    </xdr:from>
    <xdr:ext cx="114300" cy="114300"/>
    <xdr:pic>
      <xdr:nvPicPr>
        <xdr:cNvPr id="125" name="image1.png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26660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168</xdr:row>
      <xdr:rowOff>255</xdr:rowOff>
    </xdr:from>
    <xdr:ext cx="2141855" cy="0"/>
    <xdr:sp macro="" textlink="">
      <xdr:nvSpPr>
        <xdr:cNvPr id="126" name="Shape 126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SpPr/>
      </xdr:nvSpPr>
      <xdr:spPr>
        <a:xfrm>
          <a:off x="1650745" y="3333775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168</xdr:row>
      <xdr:rowOff>1</xdr:rowOff>
    </xdr:from>
    <xdr:ext cx="828675" cy="0"/>
    <xdr:sp macro="" textlink="">
      <xdr:nvSpPr>
        <xdr:cNvPr id="127" name="Shape 127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/>
      </xdr:nvSpPr>
      <xdr:spPr>
        <a:xfrm>
          <a:off x="550037" y="3333750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168</xdr:row>
      <xdr:rowOff>1</xdr:rowOff>
    </xdr:from>
    <xdr:ext cx="371475" cy="0"/>
    <xdr:sp macro="" textlink="">
      <xdr:nvSpPr>
        <xdr:cNvPr id="128" name="Shape 128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8854440" y="3333750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170</xdr:row>
      <xdr:rowOff>15621</xdr:rowOff>
    </xdr:from>
    <xdr:ext cx="114300" cy="114300"/>
    <xdr:pic>
      <xdr:nvPicPr>
        <xdr:cNvPr id="129" name="image1.png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370364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179</xdr:row>
      <xdr:rowOff>21971</xdr:rowOff>
    </xdr:from>
    <xdr:ext cx="114300" cy="114300"/>
    <xdr:pic>
      <xdr:nvPicPr>
        <xdr:cNvPr id="130" name="image1.png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51501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182</xdr:row>
      <xdr:rowOff>254</xdr:rowOff>
    </xdr:from>
    <xdr:ext cx="2141855" cy="0"/>
    <xdr:sp macro="" textlink="">
      <xdr:nvSpPr>
        <xdr:cNvPr id="131" name="Shape 131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1650745" y="3582187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182</xdr:row>
      <xdr:rowOff>0</xdr:rowOff>
    </xdr:from>
    <xdr:ext cx="828675" cy="0"/>
    <xdr:sp macro="" textlink="">
      <xdr:nvSpPr>
        <xdr:cNvPr id="132" name="Shape 13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/>
      </xdr:nvSpPr>
      <xdr:spPr>
        <a:xfrm>
          <a:off x="550037" y="35821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182</xdr:row>
      <xdr:rowOff>0</xdr:rowOff>
    </xdr:from>
    <xdr:ext cx="371475" cy="0"/>
    <xdr:sp macro="" textlink="">
      <xdr:nvSpPr>
        <xdr:cNvPr id="133" name="Shape 133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SpPr/>
      </xdr:nvSpPr>
      <xdr:spPr>
        <a:xfrm>
          <a:off x="8854440" y="35821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183</xdr:row>
      <xdr:rowOff>15621</xdr:rowOff>
    </xdr:from>
    <xdr:ext cx="114300" cy="114300"/>
    <xdr:pic>
      <xdr:nvPicPr>
        <xdr:cNvPr id="134" name="image1.png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603536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185</xdr:row>
      <xdr:rowOff>324104</xdr:rowOff>
    </xdr:from>
    <xdr:ext cx="2141855" cy="0"/>
    <xdr:sp macro="" textlink="">
      <xdr:nvSpPr>
        <xdr:cNvPr id="135" name="Shape 135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SpPr/>
      </xdr:nvSpPr>
      <xdr:spPr>
        <a:xfrm>
          <a:off x="1613874" y="3670960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185</xdr:row>
      <xdr:rowOff>323850</xdr:rowOff>
    </xdr:from>
    <xdr:ext cx="828675" cy="0"/>
    <xdr:sp macro="" textlink="">
      <xdr:nvSpPr>
        <xdr:cNvPr id="136" name="Shape 136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489305" y="3670935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185</xdr:row>
      <xdr:rowOff>323850</xdr:rowOff>
    </xdr:from>
    <xdr:ext cx="371475" cy="0"/>
    <xdr:sp macro="" textlink="">
      <xdr:nvSpPr>
        <xdr:cNvPr id="137" name="Shape 137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8837421" y="3670935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187</xdr:row>
      <xdr:rowOff>21971</xdr:rowOff>
    </xdr:from>
    <xdr:ext cx="114300" cy="114300"/>
    <xdr:pic>
      <xdr:nvPicPr>
        <xdr:cNvPr id="138" name="image1.png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69256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190</xdr:row>
      <xdr:rowOff>254</xdr:rowOff>
    </xdr:from>
    <xdr:ext cx="2141855" cy="0"/>
    <xdr:sp macro="" textlink="">
      <xdr:nvSpPr>
        <xdr:cNvPr id="139" name="Shape 139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SpPr/>
      </xdr:nvSpPr>
      <xdr:spPr>
        <a:xfrm>
          <a:off x="1645920" y="3759733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190</xdr:row>
      <xdr:rowOff>0</xdr:rowOff>
    </xdr:from>
    <xdr:ext cx="828675" cy="0"/>
    <xdr:sp macro="" textlink="">
      <xdr:nvSpPr>
        <xdr:cNvPr id="140" name="Shape 140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550037" y="375970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190</xdr:row>
      <xdr:rowOff>0</xdr:rowOff>
    </xdr:from>
    <xdr:ext cx="371475" cy="0"/>
    <xdr:sp macro="" textlink="">
      <xdr:nvSpPr>
        <xdr:cNvPr id="141" name="Shape 141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SpPr/>
      </xdr:nvSpPr>
      <xdr:spPr>
        <a:xfrm>
          <a:off x="8854440" y="375970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192</xdr:row>
      <xdr:rowOff>15621</xdr:rowOff>
    </xdr:from>
    <xdr:ext cx="114300" cy="114300"/>
    <xdr:pic>
      <xdr:nvPicPr>
        <xdr:cNvPr id="142" name="image1.png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7963221"/>
          <a:ext cx="114300" cy="114300"/>
        </a:xfrm>
        <a:prstGeom prst="rect">
          <a:avLst/>
        </a:prstGeom>
      </xdr:spPr>
    </xdr:pic>
    <xdr:clientData/>
  </xdr:oneCellAnchor>
  <xdr:oneCellAnchor>
    <xdr:from>
      <xdr:col>1</xdr:col>
      <xdr:colOff>169265</xdr:colOff>
      <xdr:row>194</xdr:row>
      <xdr:rowOff>323850</xdr:rowOff>
    </xdr:from>
    <xdr:ext cx="828675" cy="0"/>
    <xdr:sp macro="" textlink="">
      <xdr:nvSpPr>
        <xdr:cNvPr id="143" name="Shape 143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SpPr/>
      </xdr:nvSpPr>
      <xdr:spPr>
        <a:xfrm>
          <a:off x="489305" y="386372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194</xdr:row>
      <xdr:rowOff>323850</xdr:rowOff>
    </xdr:from>
    <xdr:ext cx="371475" cy="0"/>
    <xdr:sp macro="" textlink="">
      <xdr:nvSpPr>
        <xdr:cNvPr id="144" name="Shape 144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/>
      </xdr:nvSpPr>
      <xdr:spPr>
        <a:xfrm>
          <a:off x="8837421" y="3863721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196</xdr:row>
      <xdr:rowOff>21971</xdr:rowOff>
    </xdr:from>
    <xdr:ext cx="114300" cy="114300"/>
    <xdr:pic>
      <xdr:nvPicPr>
        <xdr:cNvPr id="145" name="image1.png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8853491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199</xdr:row>
      <xdr:rowOff>0</xdr:rowOff>
    </xdr:from>
    <xdr:ext cx="828675" cy="0"/>
    <xdr:sp macro="" textlink="">
      <xdr:nvSpPr>
        <xdr:cNvPr id="146" name="Shape 146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SpPr/>
      </xdr:nvSpPr>
      <xdr:spPr>
        <a:xfrm>
          <a:off x="550037" y="395249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199</xdr:row>
      <xdr:rowOff>0</xdr:rowOff>
    </xdr:from>
    <xdr:ext cx="371475" cy="0"/>
    <xdr:sp macro="" textlink="">
      <xdr:nvSpPr>
        <xdr:cNvPr id="147" name="Shape 147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SpPr/>
      </xdr:nvSpPr>
      <xdr:spPr>
        <a:xfrm>
          <a:off x="8854440" y="3952494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201</xdr:row>
      <xdr:rowOff>15621</xdr:rowOff>
    </xdr:from>
    <xdr:ext cx="114300" cy="114300"/>
    <xdr:pic>
      <xdr:nvPicPr>
        <xdr:cNvPr id="148" name="image1.png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989108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203</xdr:row>
      <xdr:rowOff>324104</xdr:rowOff>
    </xdr:from>
    <xdr:ext cx="2141855" cy="0"/>
    <xdr:sp macro="" textlink="">
      <xdr:nvSpPr>
        <xdr:cNvPr id="149" name="Shape 149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/>
      </xdr:nvSpPr>
      <xdr:spPr>
        <a:xfrm>
          <a:off x="1613874" y="405653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203</xdr:row>
      <xdr:rowOff>323850</xdr:rowOff>
    </xdr:from>
    <xdr:ext cx="828675" cy="0"/>
    <xdr:sp macro="" textlink="">
      <xdr:nvSpPr>
        <xdr:cNvPr id="150" name="Shape 150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SpPr/>
      </xdr:nvSpPr>
      <xdr:spPr>
        <a:xfrm>
          <a:off x="489305" y="405650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203</xdr:row>
      <xdr:rowOff>323850</xdr:rowOff>
    </xdr:from>
    <xdr:ext cx="371475" cy="0"/>
    <xdr:sp macro="" textlink="">
      <xdr:nvSpPr>
        <xdr:cNvPr id="151" name="Shape 151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SpPr/>
      </xdr:nvSpPr>
      <xdr:spPr>
        <a:xfrm>
          <a:off x="8837421" y="405650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207</xdr:row>
      <xdr:rowOff>21971</xdr:rowOff>
    </xdr:from>
    <xdr:ext cx="114300" cy="114300"/>
    <xdr:pic>
      <xdr:nvPicPr>
        <xdr:cNvPr id="152" name="image1.png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0785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210</xdr:row>
      <xdr:rowOff>254</xdr:rowOff>
    </xdr:from>
    <xdr:ext cx="2141855" cy="0"/>
    <xdr:sp macro="" textlink="">
      <xdr:nvSpPr>
        <xdr:cNvPr id="153" name="Shape 153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/>
      </xdr:nvSpPr>
      <xdr:spPr>
        <a:xfrm>
          <a:off x="1650745" y="4175023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210</xdr:row>
      <xdr:rowOff>0</xdr:rowOff>
    </xdr:from>
    <xdr:ext cx="828675" cy="0"/>
    <xdr:sp macro="" textlink="">
      <xdr:nvSpPr>
        <xdr:cNvPr id="154" name="Shape 154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50037" y="417499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210</xdr:row>
      <xdr:rowOff>0</xdr:rowOff>
    </xdr:from>
    <xdr:ext cx="371475" cy="0"/>
    <xdr:sp macro="" textlink="">
      <xdr:nvSpPr>
        <xdr:cNvPr id="155" name="Shape 155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/>
      </xdr:nvSpPr>
      <xdr:spPr>
        <a:xfrm>
          <a:off x="8854440" y="417499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211</xdr:row>
      <xdr:rowOff>15621</xdr:rowOff>
    </xdr:from>
    <xdr:ext cx="114300" cy="114300"/>
    <xdr:pic>
      <xdr:nvPicPr>
        <xdr:cNvPr id="156" name="image1.png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963721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214</xdr:row>
      <xdr:rowOff>260350</xdr:rowOff>
    </xdr:from>
    <xdr:ext cx="828675" cy="0"/>
    <xdr:sp macro="" textlink="">
      <xdr:nvSpPr>
        <xdr:cNvPr id="157" name="Shape 15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/>
      </xdr:nvSpPr>
      <xdr:spPr>
        <a:xfrm>
          <a:off x="551688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214</xdr:row>
      <xdr:rowOff>260604</xdr:rowOff>
    </xdr:from>
    <xdr:ext cx="2141855" cy="0"/>
    <xdr:sp macro="" textlink="">
      <xdr:nvSpPr>
        <xdr:cNvPr id="158" name="Shape 158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/>
      </xdr:nvSpPr>
      <xdr:spPr>
        <a:xfrm>
          <a:off x="1645920" y="425592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214</xdr:row>
      <xdr:rowOff>260350</xdr:rowOff>
    </xdr:from>
    <xdr:ext cx="828675" cy="0"/>
    <xdr:sp macro="" textlink="">
      <xdr:nvSpPr>
        <xdr:cNvPr id="159" name="Shape 159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/>
      </xdr:nvSpPr>
      <xdr:spPr>
        <a:xfrm>
          <a:off x="550037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214</xdr:row>
      <xdr:rowOff>260350</xdr:rowOff>
    </xdr:from>
    <xdr:ext cx="828675" cy="0"/>
    <xdr:sp macro="" textlink="">
      <xdr:nvSpPr>
        <xdr:cNvPr id="160" name="Shape 160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SpPr/>
      </xdr:nvSpPr>
      <xdr:spPr>
        <a:xfrm>
          <a:off x="774192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214</xdr:row>
      <xdr:rowOff>260350</xdr:rowOff>
    </xdr:from>
    <xdr:ext cx="828675" cy="0"/>
    <xdr:sp macro="" textlink="">
      <xdr:nvSpPr>
        <xdr:cNvPr id="161" name="Shape 161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/>
      </xdr:nvSpPr>
      <xdr:spPr>
        <a:xfrm>
          <a:off x="4419663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214</xdr:row>
      <xdr:rowOff>260350</xdr:rowOff>
    </xdr:from>
    <xdr:ext cx="828675" cy="0"/>
    <xdr:sp macro="" textlink="">
      <xdr:nvSpPr>
        <xdr:cNvPr id="162" name="Shape 162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662940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214</xdr:row>
      <xdr:rowOff>260350</xdr:rowOff>
    </xdr:from>
    <xdr:ext cx="371475" cy="0"/>
    <xdr:sp macro="" textlink="">
      <xdr:nvSpPr>
        <xdr:cNvPr id="163" name="Shape 163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8854440" y="425589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215</xdr:row>
      <xdr:rowOff>21970</xdr:rowOff>
    </xdr:from>
    <xdr:ext cx="114300" cy="114300"/>
    <xdr:pic>
      <xdr:nvPicPr>
        <xdr:cNvPr id="164" name="image1.png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277017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218</xdr:row>
      <xdr:rowOff>254</xdr:rowOff>
    </xdr:from>
    <xdr:ext cx="2141855" cy="0"/>
    <xdr:sp macro="" textlink="">
      <xdr:nvSpPr>
        <xdr:cNvPr id="165" name="Shape 165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1668834" y="4344187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218</xdr:row>
      <xdr:rowOff>0</xdr:rowOff>
    </xdr:from>
    <xdr:ext cx="828675" cy="0"/>
    <xdr:sp macro="" textlink="">
      <xdr:nvSpPr>
        <xdr:cNvPr id="166" name="Shape 166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48640" y="43441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218</xdr:row>
      <xdr:rowOff>0</xdr:rowOff>
    </xdr:from>
    <xdr:ext cx="371475" cy="0"/>
    <xdr:sp macro="" textlink="">
      <xdr:nvSpPr>
        <xdr:cNvPr id="167" name="Shape 167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SpPr/>
      </xdr:nvSpPr>
      <xdr:spPr>
        <a:xfrm>
          <a:off x="8854440" y="43441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220</xdr:row>
      <xdr:rowOff>15620</xdr:rowOff>
    </xdr:from>
    <xdr:ext cx="114300" cy="114300"/>
    <xdr:pic>
      <xdr:nvPicPr>
        <xdr:cNvPr id="168" name="image1.png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380776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223</xdr:row>
      <xdr:rowOff>6604</xdr:rowOff>
    </xdr:from>
    <xdr:ext cx="2141855" cy="0"/>
    <xdr:sp macro="" textlink="">
      <xdr:nvSpPr>
        <xdr:cNvPr id="169" name="Shape 169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SpPr/>
      </xdr:nvSpPr>
      <xdr:spPr>
        <a:xfrm>
          <a:off x="1650745" y="444769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223</xdr:row>
      <xdr:rowOff>6350</xdr:rowOff>
    </xdr:from>
    <xdr:ext cx="828675" cy="0"/>
    <xdr:sp macro="" textlink="">
      <xdr:nvSpPr>
        <xdr:cNvPr id="170" name="Shape 170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SpPr/>
      </xdr:nvSpPr>
      <xdr:spPr>
        <a:xfrm>
          <a:off x="550037" y="444766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223</xdr:row>
      <xdr:rowOff>6350</xdr:rowOff>
    </xdr:from>
    <xdr:ext cx="371475" cy="0"/>
    <xdr:sp macro="" textlink="">
      <xdr:nvSpPr>
        <xdr:cNvPr id="171" name="Shape 171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8854440" y="444766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224</xdr:row>
      <xdr:rowOff>21970</xdr:rowOff>
    </xdr:from>
    <xdr:ext cx="114300" cy="114300"/>
    <xdr:pic>
      <xdr:nvPicPr>
        <xdr:cNvPr id="172" name="image1.png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469041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227</xdr:row>
      <xdr:rowOff>254</xdr:rowOff>
    </xdr:from>
    <xdr:ext cx="2141855" cy="0"/>
    <xdr:sp macro="" textlink="">
      <xdr:nvSpPr>
        <xdr:cNvPr id="173" name="Shape 173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1650745" y="4536211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227</xdr:row>
      <xdr:rowOff>0</xdr:rowOff>
    </xdr:from>
    <xdr:ext cx="828675" cy="0"/>
    <xdr:sp macro="" textlink="">
      <xdr:nvSpPr>
        <xdr:cNvPr id="174" name="Shape 174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550037" y="453618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227</xdr:row>
      <xdr:rowOff>0</xdr:rowOff>
    </xdr:from>
    <xdr:ext cx="371475" cy="0"/>
    <xdr:sp macro="" textlink="">
      <xdr:nvSpPr>
        <xdr:cNvPr id="175" name="Shape 175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SpPr/>
      </xdr:nvSpPr>
      <xdr:spPr>
        <a:xfrm>
          <a:off x="8854440" y="4536186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22914</xdr:colOff>
      <xdr:row>230</xdr:row>
      <xdr:rowOff>324104</xdr:rowOff>
    </xdr:from>
    <xdr:ext cx="2141855" cy="0"/>
    <xdr:sp macro="" textlink="">
      <xdr:nvSpPr>
        <xdr:cNvPr id="176" name="Shape 176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1668834" y="4624984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230</xdr:row>
      <xdr:rowOff>323850</xdr:rowOff>
    </xdr:from>
    <xdr:ext cx="828675" cy="0"/>
    <xdr:sp macro="" textlink="">
      <xdr:nvSpPr>
        <xdr:cNvPr id="177" name="Shape 177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SpPr/>
      </xdr:nvSpPr>
      <xdr:spPr>
        <a:xfrm>
          <a:off x="548640" y="462495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230</xdr:row>
      <xdr:rowOff>323850</xdr:rowOff>
    </xdr:from>
    <xdr:ext cx="371475" cy="0"/>
    <xdr:sp macro="" textlink="">
      <xdr:nvSpPr>
        <xdr:cNvPr id="178" name="Shape 17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8837421" y="4624959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234</xdr:row>
      <xdr:rowOff>21970</xdr:rowOff>
    </xdr:from>
    <xdr:ext cx="114300" cy="114300"/>
    <xdr:pic>
      <xdr:nvPicPr>
        <xdr:cNvPr id="179" name="image1.png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676305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237</xdr:row>
      <xdr:rowOff>254</xdr:rowOff>
    </xdr:from>
    <xdr:ext cx="2141855" cy="0"/>
    <xdr:sp macro="" textlink="">
      <xdr:nvSpPr>
        <xdr:cNvPr id="180" name="Shape 180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/>
      </xdr:nvSpPr>
      <xdr:spPr>
        <a:xfrm>
          <a:off x="1650745" y="4743475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237</xdr:row>
      <xdr:rowOff>0</xdr:rowOff>
    </xdr:from>
    <xdr:ext cx="828675" cy="0"/>
    <xdr:sp macro="" textlink="">
      <xdr:nvSpPr>
        <xdr:cNvPr id="181" name="Shape 181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/>
      </xdr:nvSpPr>
      <xdr:spPr>
        <a:xfrm>
          <a:off x="550037" y="474345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237</xdr:row>
      <xdr:rowOff>0</xdr:rowOff>
    </xdr:from>
    <xdr:ext cx="371475" cy="0"/>
    <xdr:sp macro="" textlink="">
      <xdr:nvSpPr>
        <xdr:cNvPr id="182" name="Shape 182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/>
      </xdr:nvSpPr>
      <xdr:spPr>
        <a:xfrm>
          <a:off x="8854440" y="474345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238</xdr:row>
      <xdr:rowOff>15620</xdr:rowOff>
    </xdr:from>
    <xdr:ext cx="114300" cy="114300"/>
    <xdr:pic>
      <xdr:nvPicPr>
        <xdr:cNvPr id="183" name="image1.png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764824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240</xdr:row>
      <xdr:rowOff>324104</xdr:rowOff>
    </xdr:from>
    <xdr:ext cx="2141855" cy="0"/>
    <xdr:sp macro="" textlink="">
      <xdr:nvSpPr>
        <xdr:cNvPr id="184" name="Shape 184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/>
      </xdr:nvSpPr>
      <xdr:spPr>
        <a:xfrm>
          <a:off x="1668834" y="4832248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240</xdr:row>
      <xdr:rowOff>323850</xdr:rowOff>
    </xdr:from>
    <xdr:ext cx="828675" cy="0"/>
    <xdr:sp macro="" textlink="">
      <xdr:nvSpPr>
        <xdr:cNvPr id="185" name="Shape 185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/>
      </xdr:nvSpPr>
      <xdr:spPr>
        <a:xfrm>
          <a:off x="548640" y="483222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240</xdr:row>
      <xdr:rowOff>323850</xdr:rowOff>
    </xdr:from>
    <xdr:ext cx="371475" cy="0"/>
    <xdr:sp macro="" textlink="">
      <xdr:nvSpPr>
        <xdr:cNvPr id="186" name="Shape 186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8837421" y="483222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243</xdr:row>
      <xdr:rowOff>21970</xdr:rowOff>
    </xdr:from>
    <xdr:ext cx="114300" cy="114300"/>
    <xdr:pic>
      <xdr:nvPicPr>
        <xdr:cNvPr id="187" name="image1.png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868329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246</xdr:row>
      <xdr:rowOff>254</xdr:rowOff>
    </xdr:from>
    <xdr:ext cx="2141855" cy="0"/>
    <xdr:sp macro="" textlink="">
      <xdr:nvSpPr>
        <xdr:cNvPr id="188" name="Shape 188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1650745" y="4935499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246</xdr:row>
      <xdr:rowOff>0</xdr:rowOff>
    </xdr:from>
    <xdr:ext cx="828675" cy="0"/>
    <xdr:sp macro="" textlink="">
      <xdr:nvSpPr>
        <xdr:cNvPr id="189" name="Shape 18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/>
      </xdr:nvSpPr>
      <xdr:spPr>
        <a:xfrm>
          <a:off x="550037" y="493547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246</xdr:row>
      <xdr:rowOff>0</xdr:rowOff>
    </xdr:from>
    <xdr:ext cx="371475" cy="0"/>
    <xdr:sp macro="" textlink="">
      <xdr:nvSpPr>
        <xdr:cNvPr id="190" name="Shape 190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/>
      </xdr:nvSpPr>
      <xdr:spPr>
        <a:xfrm>
          <a:off x="8854440" y="4935474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247</xdr:row>
      <xdr:rowOff>15620</xdr:rowOff>
    </xdr:from>
    <xdr:ext cx="114300" cy="114300"/>
    <xdr:pic>
      <xdr:nvPicPr>
        <xdr:cNvPr id="191" name="image1.png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9568480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251</xdr:row>
      <xdr:rowOff>21970</xdr:rowOff>
    </xdr:from>
    <xdr:ext cx="114300" cy="114300"/>
    <xdr:pic>
      <xdr:nvPicPr>
        <xdr:cNvPr id="192" name="image1.png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0458750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254</xdr:row>
      <xdr:rowOff>260349</xdr:rowOff>
    </xdr:from>
    <xdr:ext cx="828675" cy="0"/>
    <xdr:sp macro="" textlink="">
      <xdr:nvSpPr>
        <xdr:cNvPr id="193" name="Shape 193">
          <a:extLst>
            <a:ext uri="{FF2B5EF4-FFF2-40B4-BE49-F238E27FC236}">
              <a16:creationId xmlns:a16="http://schemas.microsoft.com/office/drawing/2014/main" id="{00000000-0008-0000-0200-0000C1000000}"/>
            </a:ext>
          </a:extLst>
        </xdr:cNvPr>
        <xdr:cNvSpPr/>
      </xdr:nvSpPr>
      <xdr:spPr>
        <a:xfrm>
          <a:off x="551688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254</xdr:row>
      <xdr:rowOff>260603</xdr:rowOff>
    </xdr:from>
    <xdr:ext cx="2141855" cy="0"/>
    <xdr:sp macro="" textlink="">
      <xdr:nvSpPr>
        <xdr:cNvPr id="194" name="Shape 194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1645920" y="5104790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254</xdr:row>
      <xdr:rowOff>260349</xdr:rowOff>
    </xdr:from>
    <xdr:ext cx="828675" cy="0"/>
    <xdr:sp macro="" textlink="">
      <xdr:nvSpPr>
        <xdr:cNvPr id="195" name="Shape 195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550037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254</xdr:row>
      <xdr:rowOff>260349</xdr:rowOff>
    </xdr:from>
    <xdr:ext cx="828675" cy="0"/>
    <xdr:sp macro="" textlink="">
      <xdr:nvSpPr>
        <xdr:cNvPr id="196" name="Shape 196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774192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254</xdr:row>
      <xdr:rowOff>260349</xdr:rowOff>
    </xdr:from>
    <xdr:ext cx="828675" cy="0"/>
    <xdr:sp macro="" textlink="">
      <xdr:nvSpPr>
        <xdr:cNvPr id="197" name="Shape 197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SpPr/>
      </xdr:nvSpPr>
      <xdr:spPr>
        <a:xfrm>
          <a:off x="4419663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254</xdr:row>
      <xdr:rowOff>260349</xdr:rowOff>
    </xdr:from>
    <xdr:ext cx="828675" cy="0"/>
    <xdr:sp macro="" textlink="">
      <xdr:nvSpPr>
        <xdr:cNvPr id="198" name="Shape 198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SpPr/>
      </xdr:nvSpPr>
      <xdr:spPr>
        <a:xfrm>
          <a:off x="662940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254</xdr:row>
      <xdr:rowOff>260349</xdr:rowOff>
    </xdr:from>
    <xdr:ext cx="371475" cy="0"/>
    <xdr:sp macro="" textlink="">
      <xdr:nvSpPr>
        <xdr:cNvPr id="199" name="Shape 199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/>
      </xdr:nvSpPr>
      <xdr:spPr>
        <a:xfrm>
          <a:off x="8854440" y="5104764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255</xdr:row>
      <xdr:rowOff>21970</xdr:rowOff>
    </xdr:from>
    <xdr:ext cx="114300" cy="114300"/>
    <xdr:pic>
      <xdr:nvPicPr>
        <xdr:cNvPr id="200" name="image1.png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125885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258</xdr:row>
      <xdr:rowOff>256</xdr:rowOff>
    </xdr:from>
    <xdr:ext cx="2141855" cy="0"/>
    <xdr:sp macro="" textlink="">
      <xdr:nvSpPr>
        <xdr:cNvPr id="201" name="Shape 201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1668834" y="5193055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258</xdr:row>
      <xdr:rowOff>2</xdr:rowOff>
    </xdr:from>
    <xdr:ext cx="828675" cy="0"/>
    <xdr:sp macro="" textlink="">
      <xdr:nvSpPr>
        <xdr:cNvPr id="202" name="Shape 202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489305" y="5193030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258</xdr:row>
      <xdr:rowOff>2</xdr:rowOff>
    </xdr:from>
    <xdr:ext cx="371475" cy="0"/>
    <xdr:sp macro="" textlink="">
      <xdr:nvSpPr>
        <xdr:cNvPr id="203" name="Shape 203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SpPr/>
      </xdr:nvSpPr>
      <xdr:spPr>
        <a:xfrm>
          <a:off x="8854440" y="5193030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260</xdr:row>
      <xdr:rowOff>15623</xdr:rowOff>
    </xdr:from>
    <xdr:ext cx="114300" cy="114300"/>
    <xdr:pic>
      <xdr:nvPicPr>
        <xdr:cNvPr id="204" name="image1.png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229644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263</xdr:row>
      <xdr:rowOff>6606</xdr:rowOff>
    </xdr:from>
    <xdr:ext cx="2141855" cy="0"/>
    <xdr:sp macro="" textlink="">
      <xdr:nvSpPr>
        <xdr:cNvPr id="205" name="Shape 205">
          <a:extLst>
            <a:ext uri="{FF2B5EF4-FFF2-40B4-BE49-F238E27FC236}">
              <a16:creationId xmlns:a16="http://schemas.microsoft.com/office/drawing/2014/main" id="{00000000-0008-0000-0200-0000CD000000}"/>
            </a:ext>
          </a:extLst>
        </xdr:cNvPr>
        <xdr:cNvSpPr/>
      </xdr:nvSpPr>
      <xdr:spPr>
        <a:xfrm>
          <a:off x="1650745" y="5296560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263</xdr:row>
      <xdr:rowOff>6352</xdr:rowOff>
    </xdr:from>
    <xdr:ext cx="828675" cy="0"/>
    <xdr:sp macro="" textlink="">
      <xdr:nvSpPr>
        <xdr:cNvPr id="206" name="Shape 206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SpPr/>
      </xdr:nvSpPr>
      <xdr:spPr>
        <a:xfrm>
          <a:off x="550037" y="5296535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263</xdr:row>
      <xdr:rowOff>6352</xdr:rowOff>
    </xdr:from>
    <xdr:ext cx="371475" cy="0"/>
    <xdr:sp macro="" textlink="">
      <xdr:nvSpPr>
        <xdr:cNvPr id="207" name="Shape 207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8854440" y="5296535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264</xdr:row>
      <xdr:rowOff>21973</xdr:rowOff>
    </xdr:from>
    <xdr:ext cx="114300" cy="114300"/>
    <xdr:pic>
      <xdr:nvPicPr>
        <xdr:cNvPr id="208" name="image1.png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317909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267</xdr:row>
      <xdr:rowOff>256</xdr:rowOff>
    </xdr:from>
    <xdr:ext cx="2141855" cy="0"/>
    <xdr:sp macro="" textlink="">
      <xdr:nvSpPr>
        <xdr:cNvPr id="209" name="Shape 209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SpPr/>
      </xdr:nvSpPr>
      <xdr:spPr>
        <a:xfrm>
          <a:off x="1650745" y="5385079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267</xdr:row>
      <xdr:rowOff>2</xdr:rowOff>
    </xdr:from>
    <xdr:ext cx="828675" cy="0"/>
    <xdr:sp macro="" textlink="">
      <xdr:nvSpPr>
        <xdr:cNvPr id="210" name="Shape 210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SpPr/>
      </xdr:nvSpPr>
      <xdr:spPr>
        <a:xfrm>
          <a:off x="550037" y="5385054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267</xdr:row>
      <xdr:rowOff>2</xdr:rowOff>
    </xdr:from>
    <xdr:ext cx="371475" cy="0"/>
    <xdr:sp macro="" textlink="">
      <xdr:nvSpPr>
        <xdr:cNvPr id="211" name="Shape 211">
          <a:extLst>
            <a:ext uri="{FF2B5EF4-FFF2-40B4-BE49-F238E27FC236}">
              <a16:creationId xmlns:a16="http://schemas.microsoft.com/office/drawing/2014/main" id="{00000000-0008-0000-0200-0000D3000000}"/>
            </a:ext>
          </a:extLst>
        </xdr:cNvPr>
        <xdr:cNvSpPr/>
      </xdr:nvSpPr>
      <xdr:spPr>
        <a:xfrm>
          <a:off x="8854440" y="5385054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268</xdr:row>
      <xdr:rowOff>15623</xdr:rowOff>
    </xdr:from>
    <xdr:ext cx="114300" cy="114300"/>
    <xdr:pic>
      <xdr:nvPicPr>
        <xdr:cNvPr id="212" name="image1.png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406428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271</xdr:row>
      <xdr:rowOff>6606</xdr:rowOff>
    </xdr:from>
    <xdr:ext cx="2141855" cy="0"/>
    <xdr:sp macro="" textlink="">
      <xdr:nvSpPr>
        <xdr:cNvPr id="213" name="Shape 213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SpPr/>
      </xdr:nvSpPr>
      <xdr:spPr>
        <a:xfrm>
          <a:off x="1650745" y="5473344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271</xdr:row>
      <xdr:rowOff>6352</xdr:rowOff>
    </xdr:from>
    <xdr:ext cx="828675" cy="0"/>
    <xdr:sp macro="" textlink="">
      <xdr:nvSpPr>
        <xdr:cNvPr id="214" name="Shape 214">
          <a:extLst>
            <a:ext uri="{FF2B5EF4-FFF2-40B4-BE49-F238E27FC236}">
              <a16:creationId xmlns:a16="http://schemas.microsoft.com/office/drawing/2014/main" id="{00000000-0008-0000-0200-0000D6000000}"/>
            </a:ext>
          </a:extLst>
        </xdr:cNvPr>
        <xdr:cNvSpPr/>
      </xdr:nvSpPr>
      <xdr:spPr>
        <a:xfrm>
          <a:off x="550037" y="5473319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271</xdr:row>
      <xdr:rowOff>6352</xdr:rowOff>
    </xdr:from>
    <xdr:ext cx="371475" cy="0"/>
    <xdr:sp macro="" textlink="">
      <xdr:nvSpPr>
        <xdr:cNvPr id="215" name="Shape 215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/>
      </xdr:nvSpPr>
      <xdr:spPr>
        <a:xfrm>
          <a:off x="8854440" y="5473319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273</xdr:row>
      <xdr:rowOff>21973</xdr:rowOff>
    </xdr:from>
    <xdr:ext cx="114300" cy="114300"/>
    <xdr:pic>
      <xdr:nvPicPr>
        <xdr:cNvPr id="216" name="image1.png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509933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276</xdr:row>
      <xdr:rowOff>256</xdr:rowOff>
    </xdr:from>
    <xdr:ext cx="2141855" cy="0"/>
    <xdr:sp macro="" textlink="">
      <xdr:nvSpPr>
        <xdr:cNvPr id="217" name="Shape 217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SpPr/>
      </xdr:nvSpPr>
      <xdr:spPr>
        <a:xfrm>
          <a:off x="1668834" y="5577103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276</xdr:row>
      <xdr:rowOff>2</xdr:rowOff>
    </xdr:from>
    <xdr:ext cx="828675" cy="0"/>
    <xdr:sp macro="" textlink="">
      <xdr:nvSpPr>
        <xdr:cNvPr id="218" name="Shape 218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89305" y="5577078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276</xdr:row>
      <xdr:rowOff>2</xdr:rowOff>
    </xdr:from>
    <xdr:ext cx="371475" cy="0"/>
    <xdr:sp macro="" textlink="">
      <xdr:nvSpPr>
        <xdr:cNvPr id="219" name="Shape 219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8854440" y="5577078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277</xdr:row>
      <xdr:rowOff>15623</xdr:rowOff>
    </xdr:from>
    <xdr:ext cx="114300" cy="114300"/>
    <xdr:pic>
      <xdr:nvPicPr>
        <xdr:cNvPr id="220" name="image1.png">
          <a:extLst>
            <a:ext uri="{FF2B5EF4-FFF2-40B4-BE49-F238E27FC236}">
              <a16:creationId xmlns:a16="http://schemas.microsoft.com/office/drawing/2014/main" id="{00000000-0008-0000-0200-0000D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598452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280</xdr:row>
      <xdr:rowOff>6606</xdr:rowOff>
    </xdr:from>
    <xdr:ext cx="2141855" cy="0"/>
    <xdr:sp macro="" textlink="">
      <xdr:nvSpPr>
        <xdr:cNvPr id="221" name="Shape 221">
          <a:extLst>
            <a:ext uri="{FF2B5EF4-FFF2-40B4-BE49-F238E27FC236}">
              <a16:creationId xmlns:a16="http://schemas.microsoft.com/office/drawing/2014/main" id="{00000000-0008-0000-0200-0000DD000000}"/>
            </a:ext>
          </a:extLst>
        </xdr:cNvPr>
        <xdr:cNvSpPr/>
      </xdr:nvSpPr>
      <xdr:spPr>
        <a:xfrm>
          <a:off x="1650745" y="566536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280</xdr:row>
      <xdr:rowOff>6352</xdr:rowOff>
    </xdr:from>
    <xdr:ext cx="828675" cy="0"/>
    <xdr:sp macro="" textlink="">
      <xdr:nvSpPr>
        <xdr:cNvPr id="222" name="Shape 222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SpPr/>
      </xdr:nvSpPr>
      <xdr:spPr>
        <a:xfrm>
          <a:off x="550037" y="566534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280</xdr:row>
      <xdr:rowOff>6352</xdr:rowOff>
    </xdr:from>
    <xdr:ext cx="371475" cy="0"/>
    <xdr:sp macro="" textlink="">
      <xdr:nvSpPr>
        <xdr:cNvPr id="223" name="Shape 223">
          <a:extLst>
            <a:ext uri="{FF2B5EF4-FFF2-40B4-BE49-F238E27FC236}">
              <a16:creationId xmlns:a16="http://schemas.microsoft.com/office/drawing/2014/main" id="{00000000-0008-0000-0200-0000DF000000}"/>
            </a:ext>
          </a:extLst>
        </xdr:cNvPr>
        <xdr:cNvSpPr/>
      </xdr:nvSpPr>
      <xdr:spPr>
        <a:xfrm>
          <a:off x="8854440" y="566534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281</xdr:row>
      <xdr:rowOff>21973</xdr:rowOff>
    </xdr:from>
    <xdr:ext cx="114300" cy="114300"/>
    <xdr:pic>
      <xdr:nvPicPr>
        <xdr:cNvPr id="224" name="image1.png">
          <a:extLst>
            <a:ext uri="{FF2B5EF4-FFF2-40B4-BE49-F238E27FC236}">
              <a16:creationId xmlns:a16="http://schemas.microsoft.com/office/drawing/2014/main" id="{00000000-0008-0000-0200-0000E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686717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284</xdr:row>
      <xdr:rowOff>256</xdr:rowOff>
    </xdr:from>
    <xdr:ext cx="2141855" cy="0"/>
    <xdr:sp macro="" textlink="">
      <xdr:nvSpPr>
        <xdr:cNvPr id="225" name="Shape 225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SpPr/>
      </xdr:nvSpPr>
      <xdr:spPr>
        <a:xfrm>
          <a:off x="1650745" y="5753887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284</xdr:row>
      <xdr:rowOff>2</xdr:rowOff>
    </xdr:from>
    <xdr:ext cx="828675" cy="0"/>
    <xdr:sp macro="" textlink="">
      <xdr:nvSpPr>
        <xdr:cNvPr id="226" name="Shape 226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SpPr/>
      </xdr:nvSpPr>
      <xdr:spPr>
        <a:xfrm>
          <a:off x="550037" y="5753862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284</xdr:row>
      <xdr:rowOff>2</xdr:rowOff>
    </xdr:from>
    <xdr:ext cx="371475" cy="0"/>
    <xdr:sp macro="" textlink="">
      <xdr:nvSpPr>
        <xdr:cNvPr id="227" name="Shape 227">
          <a:extLst>
            <a:ext uri="{FF2B5EF4-FFF2-40B4-BE49-F238E27FC236}">
              <a16:creationId xmlns:a16="http://schemas.microsoft.com/office/drawing/2014/main" id="{00000000-0008-0000-0200-0000E3000000}"/>
            </a:ext>
          </a:extLst>
        </xdr:cNvPr>
        <xdr:cNvSpPr/>
      </xdr:nvSpPr>
      <xdr:spPr>
        <a:xfrm>
          <a:off x="8854440" y="5753862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285</xdr:row>
      <xdr:rowOff>15623</xdr:rowOff>
    </xdr:from>
    <xdr:ext cx="114300" cy="114300"/>
    <xdr:pic>
      <xdr:nvPicPr>
        <xdr:cNvPr id="228" name="image1.png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775236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288</xdr:row>
      <xdr:rowOff>6606</xdr:rowOff>
    </xdr:from>
    <xdr:ext cx="2141855" cy="0"/>
    <xdr:sp macro="" textlink="">
      <xdr:nvSpPr>
        <xdr:cNvPr id="229" name="Shape 229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SpPr/>
      </xdr:nvSpPr>
      <xdr:spPr>
        <a:xfrm>
          <a:off x="1650745" y="5842152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288</xdr:row>
      <xdr:rowOff>6352</xdr:rowOff>
    </xdr:from>
    <xdr:ext cx="828675" cy="0"/>
    <xdr:sp macro="" textlink="">
      <xdr:nvSpPr>
        <xdr:cNvPr id="230" name="Shape 230">
          <a:extLst>
            <a:ext uri="{FF2B5EF4-FFF2-40B4-BE49-F238E27FC236}">
              <a16:creationId xmlns:a16="http://schemas.microsoft.com/office/drawing/2014/main" id="{00000000-0008-0000-0200-0000E6000000}"/>
            </a:ext>
          </a:extLst>
        </xdr:cNvPr>
        <xdr:cNvSpPr/>
      </xdr:nvSpPr>
      <xdr:spPr>
        <a:xfrm>
          <a:off x="550037" y="5842127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288</xdr:row>
      <xdr:rowOff>6352</xdr:rowOff>
    </xdr:from>
    <xdr:ext cx="371475" cy="0"/>
    <xdr:sp macro="" textlink="">
      <xdr:nvSpPr>
        <xdr:cNvPr id="231" name="Shape 231">
          <a:extLst>
            <a:ext uri="{FF2B5EF4-FFF2-40B4-BE49-F238E27FC236}">
              <a16:creationId xmlns:a16="http://schemas.microsoft.com/office/drawing/2014/main" id="{00000000-0008-0000-0200-0000E7000000}"/>
            </a:ext>
          </a:extLst>
        </xdr:cNvPr>
        <xdr:cNvSpPr/>
      </xdr:nvSpPr>
      <xdr:spPr>
        <a:xfrm>
          <a:off x="8854440" y="5842127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291</xdr:row>
      <xdr:rowOff>21973</xdr:rowOff>
    </xdr:from>
    <xdr:ext cx="114300" cy="114300"/>
    <xdr:pic>
      <xdr:nvPicPr>
        <xdr:cNvPr id="232" name="image1.png">
          <a:extLst>
            <a:ext uri="{FF2B5EF4-FFF2-40B4-BE49-F238E27FC236}">
              <a16:creationId xmlns:a16="http://schemas.microsoft.com/office/drawing/2014/main" id="{00000000-0008-0000-0200-0000E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893981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294</xdr:row>
      <xdr:rowOff>6603</xdr:rowOff>
    </xdr:from>
    <xdr:ext cx="2141855" cy="0"/>
    <xdr:sp macro="" textlink="">
      <xdr:nvSpPr>
        <xdr:cNvPr id="233" name="Shape 233">
          <a:extLst>
            <a:ext uri="{FF2B5EF4-FFF2-40B4-BE49-F238E27FC236}">
              <a16:creationId xmlns:a16="http://schemas.microsoft.com/office/drawing/2014/main" id="{00000000-0008-0000-0200-0000E9000000}"/>
            </a:ext>
          </a:extLst>
        </xdr:cNvPr>
        <xdr:cNvSpPr/>
      </xdr:nvSpPr>
      <xdr:spPr>
        <a:xfrm>
          <a:off x="1650745" y="595111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294</xdr:row>
      <xdr:rowOff>6348</xdr:rowOff>
    </xdr:from>
    <xdr:ext cx="828675" cy="0"/>
    <xdr:sp macro="" textlink="">
      <xdr:nvSpPr>
        <xdr:cNvPr id="234" name="Shape 234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SpPr/>
      </xdr:nvSpPr>
      <xdr:spPr>
        <a:xfrm>
          <a:off x="550037" y="5951092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294</xdr:row>
      <xdr:rowOff>6348</xdr:rowOff>
    </xdr:from>
    <xdr:ext cx="371475" cy="0"/>
    <xdr:sp macro="" textlink="">
      <xdr:nvSpPr>
        <xdr:cNvPr id="235" name="Shape 235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>
          <a:off x="8854440" y="5951092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296</xdr:row>
      <xdr:rowOff>21969</xdr:rowOff>
    </xdr:from>
    <xdr:ext cx="114300" cy="114300"/>
    <xdr:pic>
      <xdr:nvPicPr>
        <xdr:cNvPr id="236" name="image1.png">
          <a:extLst>
            <a:ext uri="{FF2B5EF4-FFF2-40B4-BE49-F238E27FC236}">
              <a16:creationId xmlns:a16="http://schemas.microsoft.com/office/drawing/2014/main" id="{00000000-0008-0000-0200-0000E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98770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299</xdr:row>
      <xdr:rowOff>253</xdr:rowOff>
    </xdr:from>
    <xdr:ext cx="2141855" cy="0"/>
    <xdr:sp macro="" textlink="">
      <xdr:nvSpPr>
        <xdr:cNvPr id="237" name="Shape 237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1650745" y="605487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299</xdr:row>
      <xdr:rowOff>-1</xdr:rowOff>
    </xdr:from>
    <xdr:ext cx="828675" cy="0"/>
    <xdr:sp macro="" textlink="">
      <xdr:nvSpPr>
        <xdr:cNvPr id="238" name="Shape 238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550037" y="6054851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299</xdr:row>
      <xdr:rowOff>-1</xdr:rowOff>
    </xdr:from>
    <xdr:ext cx="371475" cy="0"/>
    <xdr:sp macro="" textlink="">
      <xdr:nvSpPr>
        <xdr:cNvPr id="239" name="Shape 239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8854440" y="6054851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300</xdr:row>
      <xdr:rowOff>15619</xdr:rowOff>
    </xdr:from>
    <xdr:ext cx="114300" cy="114300"/>
    <xdr:pic>
      <xdr:nvPicPr>
        <xdr:cNvPr id="240" name="image1.png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07622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303</xdr:row>
      <xdr:rowOff>6603</xdr:rowOff>
    </xdr:from>
    <xdr:ext cx="2141855" cy="0"/>
    <xdr:sp macro="" textlink="">
      <xdr:nvSpPr>
        <xdr:cNvPr id="241" name="Shape 241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SpPr/>
      </xdr:nvSpPr>
      <xdr:spPr>
        <a:xfrm>
          <a:off x="1650745" y="614314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303</xdr:row>
      <xdr:rowOff>6348</xdr:rowOff>
    </xdr:from>
    <xdr:ext cx="828675" cy="0"/>
    <xdr:sp macro="" textlink="">
      <xdr:nvSpPr>
        <xdr:cNvPr id="242" name="Shape 242">
          <a:extLst>
            <a:ext uri="{FF2B5EF4-FFF2-40B4-BE49-F238E27FC236}">
              <a16:creationId xmlns:a16="http://schemas.microsoft.com/office/drawing/2014/main" id="{00000000-0008-0000-0200-0000F2000000}"/>
            </a:ext>
          </a:extLst>
        </xdr:cNvPr>
        <xdr:cNvSpPr/>
      </xdr:nvSpPr>
      <xdr:spPr>
        <a:xfrm>
          <a:off x="550037" y="614311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303</xdr:row>
      <xdr:rowOff>6348</xdr:rowOff>
    </xdr:from>
    <xdr:ext cx="371475" cy="0"/>
    <xdr:sp macro="" textlink="">
      <xdr:nvSpPr>
        <xdr:cNvPr id="243" name="Shape 243">
          <a:extLst>
            <a:ext uri="{FF2B5EF4-FFF2-40B4-BE49-F238E27FC236}">
              <a16:creationId xmlns:a16="http://schemas.microsoft.com/office/drawing/2014/main" id="{00000000-0008-0000-0200-0000F3000000}"/>
            </a:ext>
          </a:extLst>
        </xdr:cNvPr>
        <xdr:cNvSpPr/>
      </xdr:nvSpPr>
      <xdr:spPr>
        <a:xfrm>
          <a:off x="8854440" y="614311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304</xdr:row>
      <xdr:rowOff>21969</xdr:rowOff>
    </xdr:from>
    <xdr:ext cx="114300" cy="114300"/>
    <xdr:pic>
      <xdr:nvPicPr>
        <xdr:cNvPr id="244" name="image1.png">
          <a:extLst>
            <a:ext uri="{FF2B5EF4-FFF2-40B4-BE49-F238E27FC236}">
              <a16:creationId xmlns:a16="http://schemas.microsoft.com/office/drawing/2014/main" id="{00000000-0008-0000-0200-0000F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16449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307</xdr:row>
      <xdr:rowOff>253</xdr:rowOff>
    </xdr:from>
    <xdr:ext cx="2141855" cy="0"/>
    <xdr:sp macro="" textlink="">
      <xdr:nvSpPr>
        <xdr:cNvPr id="245" name="Shape 245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650745" y="623166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307</xdr:row>
      <xdr:rowOff>-1</xdr:rowOff>
    </xdr:from>
    <xdr:ext cx="828675" cy="0"/>
    <xdr:sp macro="" textlink="">
      <xdr:nvSpPr>
        <xdr:cNvPr id="246" name="Shape 246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550037" y="6231635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307</xdr:row>
      <xdr:rowOff>-1</xdr:rowOff>
    </xdr:from>
    <xdr:ext cx="371475" cy="0"/>
    <xdr:sp macro="" textlink="">
      <xdr:nvSpPr>
        <xdr:cNvPr id="247" name="Shape 247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/>
      </xdr:nvSpPr>
      <xdr:spPr>
        <a:xfrm>
          <a:off x="8854440" y="6231635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308</xdr:row>
      <xdr:rowOff>15619</xdr:rowOff>
    </xdr:from>
    <xdr:ext cx="114300" cy="114300"/>
    <xdr:pic>
      <xdr:nvPicPr>
        <xdr:cNvPr id="248" name="image1.png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253009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311</xdr:row>
      <xdr:rowOff>6603</xdr:rowOff>
    </xdr:from>
    <xdr:ext cx="2141855" cy="0"/>
    <xdr:sp macro="" textlink="">
      <xdr:nvSpPr>
        <xdr:cNvPr id="249" name="Shape 249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/>
      </xdr:nvSpPr>
      <xdr:spPr>
        <a:xfrm>
          <a:off x="1650745" y="631992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311</xdr:row>
      <xdr:rowOff>6348</xdr:rowOff>
    </xdr:from>
    <xdr:ext cx="828675" cy="0"/>
    <xdr:sp macro="" textlink="">
      <xdr:nvSpPr>
        <xdr:cNvPr id="250" name="Shape 250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/>
      </xdr:nvSpPr>
      <xdr:spPr>
        <a:xfrm>
          <a:off x="550037" y="6319900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311</xdr:row>
      <xdr:rowOff>6348</xdr:rowOff>
    </xdr:from>
    <xdr:ext cx="371475" cy="0"/>
    <xdr:sp macro="" textlink="">
      <xdr:nvSpPr>
        <xdr:cNvPr id="251" name="Shape 251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/>
      </xdr:nvSpPr>
      <xdr:spPr>
        <a:xfrm>
          <a:off x="8854440" y="6319900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312</xdr:row>
      <xdr:rowOff>21969</xdr:rowOff>
    </xdr:from>
    <xdr:ext cx="114300" cy="114300"/>
    <xdr:pic>
      <xdr:nvPicPr>
        <xdr:cNvPr id="252" name="image1.png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3412749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316</xdr:row>
      <xdr:rowOff>15619</xdr:rowOff>
    </xdr:from>
    <xdr:ext cx="114300" cy="114300"/>
    <xdr:pic>
      <xdr:nvPicPr>
        <xdr:cNvPr id="253" name="image1.png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4297939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320</xdr:row>
      <xdr:rowOff>260348</xdr:rowOff>
    </xdr:from>
    <xdr:ext cx="828675" cy="0"/>
    <xdr:sp macro="" textlink="">
      <xdr:nvSpPr>
        <xdr:cNvPr id="254" name="Shape 254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/>
      </xdr:nvSpPr>
      <xdr:spPr>
        <a:xfrm>
          <a:off x="551688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320</xdr:row>
      <xdr:rowOff>260603</xdr:rowOff>
    </xdr:from>
    <xdr:ext cx="2141855" cy="0"/>
    <xdr:sp macro="" textlink="">
      <xdr:nvSpPr>
        <xdr:cNvPr id="255" name="Shape 255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/>
      </xdr:nvSpPr>
      <xdr:spPr>
        <a:xfrm>
          <a:off x="1645920" y="650001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320</xdr:row>
      <xdr:rowOff>260348</xdr:rowOff>
    </xdr:from>
    <xdr:ext cx="828675" cy="0"/>
    <xdr:sp macro="" textlink="">
      <xdr:nvSpPr>
        <xdr:cNvPr id="256" name="Shape 256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SpPr/>
      </xdr:nvSpPr>
      <xdr:spPr>
        <a:xfrm>
          <a:off x="550037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320</xdr:row>
      <xdr:rowOff>260348</xdr:rowOff>
    </xdr:from>
    <xdr:ext cx="828675" cy="0"/>
    <xdr:sp macro="" textlink="">
      <xdr:nvSpPr>
        <xdr:cNvPr id="257" name="Shape 257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/>
      </xdr:nvSpPr>
      <xdr:spPr>
        <a:xfrm>
          <a:off x="774192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320</xdr:row>
      <xdr:rowOff>260348</xdr:rowOff>
    </xdr:from>
    <xdr:ext cx="828675" cy="0"/>
    <xdr:sp macro="" textlink="">
      <xdr:nvSpPr>
        <xdr:cNvPr id="258" name="Shape 258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/>
      </xdr:nvSpPr>
      <xdr:spPr>
        <a:xfrm>
          <a:off x="4419663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320</xdr:row>
      <xdr:rowOff>260348</xdr:rowOff>
    </xdr:from>
    <xdr:ext cx="828675" cy="0"/>
    <xdr:sp macro="" textlink="">
      <xdr:nvSpPr>
        <xdr:cNvPr id="259" name="Shape 259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/>
      </xdr:nvSpPr>
      <xdr:spPr>
        <a:xfrm>
          <a:off x="662940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320</xdr:row>
      <xdr:rowOff>260348</xdr:rowOff>
    </xdr:from>
    <xdr:ext cx="371475" cy="0"/>
    <xdr:sp macro="" textlink="">
      <xdr:nvSpPr>
        <xdr:cNvPr id="260" name="Shape 260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/>
      </xdr:nvSpPr>
      <xdr:spPr>
        <a:xfrm>
          <a:off x="8854440" y="649998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321</xdr:row>
      <xdr:rowOff>21969</xdr:rowOff>
    </xdr:from>
    <xdr:ext cx="114300" cy="114300"/>
    <xdr:pic>
      <xdr:nvPicPr>
        <xdr:cNvPr id="261" name="image1.png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52110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324</xdr:row>
      <xdr:rowOff>253</xdr:rowOff>
    </xdr:from>
    <xdr:ext cx="2141855" cy="0"/>
    <xdr:sp macro="" textlink="">
      <xdr:nvSpPr>
        <xdr:cNvPr id="262" name="Shape 262">
          <a:extLst>
            <a:ext uri="{FF2B5EF4-FFF2-40B4-BE49-F238E27FC236}">
              <a16:creationId xmlns:a16="http://schemas.microsoft.com/office/drawing/2014/main" id="{00000000-0008-0000-0200-000006010000}"/>
            </a:ext>
          </a:extLst>
        </xdr:cNvPr>
        <xdr:cNvSpPr/>
      </xdr:nvSpPr>
      <xdr:spPr>
        <a:xfrm>
          <a:off x="1646173" y="658827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324</xdr:row>
      <xdr:rowOff>-1</xdr:rowOff>
    </xdr:from>
    <xdr:ext cx="828675" cy="0"/>
    <xdr:sp macro="" textlink="">
      <xdr:nvSpPr>
        <xdr:cNvPr id="263" name="Shape 263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/>
      </xdr:nvSpPr>
      <xdr:spPr>
        <a:xfrm>
          <a:off x="548640" y="6588251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324</xdr:row>
      <xdr:rowOff>-1</xdr:rowOff>
    </xdr:from>
    <xdr:ext cx="371475" cy="0"/>
    <xdr:sp macro="" textlink="">
      <xdr:nvSpPr>
        <xdr:cNvPr id="264" name="Shape 264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8854440" y="6588251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325</xdr:row>
      <xdr:rowOff>15619</xdr:rowOff>
    </xdr:from>
    <xdr:ext cx="114300" cy="114300"/>
    <xdr:pic>
      <xdr:nvPicPr>
        <xdr:cNvPr id="265" name="image1.png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60962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328</xdr:row>
      <xdr:rowOff>6603</xdr:rowOff>
    </xdr:from>
    <xdr:ext cx="2141855" cy="0"/>
    <xdr:sp macro="" textlink="">
      <xdr:nvSpPr>
        <xdr:cNvPr id="266" name="Shape 266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/>
      </xdr:nvSpPr>
      <xdr:spPr>
        <a:xfrm>
          <a:off x="1646173" y="667654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328</xdr:row>
      <xdr:rowOff>6348</xdr:rowOff>
    </xdr:from>
    <xdr:ext cx="828675" cy="0"/>
    <xdr:sp macro="" textlink="">
      <xdr:nvSpPr>
        <xdr:cNvPr id="267" name="Shape 267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/>
      </xdr:nvSpPr>
      <xdr:spPr>
        <a:xfrm>
          <a:off x="550037" y="667651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328</xdr:row>
      <xdr:rowOff>6348</xdr:rowOff>
    </xdr:from>
    <xdr:ext cx="371475" cy="0"/>
    <xdr:sp macro="" textlink="">
      <xdr:nvSpPr>
        <xdr:cNvPr id="268" name="Shape 268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/>
      </xdr:nvSpPr>
      <xdr:spPr>
        <a:xfrm>
          <a:off x="8854440" y="667651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331</xdr:row>
      <xdr:rowOff>21969</xdr:rowOff>
    </xdr:from>
    <xdr:ext cx="114300" cy="114300"/>
    <xdr:pic>
      <xdr:nvPicPr>
        <xdr:cNvPr id="269" name="image1.png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72837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21589</xdr:colOff>
      <xdr:row>334</xdr:row>
      <xdr:rowOff>6605</xdr:rowOff>
    </xdr:from>
    <xdr:ext cx="2141855" cy="0"/>
    <xdr:sp macro="" textlink="">
      <xdr:nvSpPr>
        <xdr:cNvPr id="270" name="Shape 270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/>
      </xdr:nvSpPr>
      <xdr:spPr>
        <a:xfrm>
          <a:off x="1667509" y="678550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334</xdr:row>
      <xdr:rowOff>6351</xdr:rowOff>
    </xdr:from>
    <xdr:ext cx="828675" cy="0"/>
    <xdr:sp macro="" textlink="">
      <xdr:nvSpPr>
        <xdr:cNvPr id="271" name="Shape 27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50037" y="678548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334</xdr:row>
      <xdr:rowOff>6351</xdr:rowOff>
    </xdr:from>
    <xdr:ext cx="371475" cy="0"/>
    <xdr:sp macro="" textlink="">
      <xdr:nvSpPr>
        <xdr:cNvPr id="272" name="Shape 27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8854440" y="678548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336</xdr:row>
      <xdr:rowOff>21971</xdr:rowOff>
    </xdr:from>
    <xdr:ext cx="114300" cy="114300"/>
    <xdr:pic>
      <xdr:nvPicPr>
        <xdr:cNvPr id="273" name="image1.png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82209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21589</xdr:colOff>
      <xdr:row>339</xdr:row>
      <xdr:rowOff>255</xdr:rowOff>
    </xdr:from>
    <xdr:ext cx="2141855" cy="0"/>
    <xdr:sp macro="" textlink="">
      <xdr:nvSpPr>
        <xdr:cNvPr id="274" name="Shape 274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/>
      </xdr:nvSpPr>
      <xdr:spPr>
        <a:xfrm>
          <a:off x="1667509" y="6889267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339</xdr:row>
      <xdr:rowOff>1</xdr:rowOff>
    </xdr:from>
    <xdr:ext cx="828675" cy="0"/>
    <xdr:sp macro="" textlink="">
      <xdr:nvSpPr>
        <xdr:cNvPr id="275" name="Shape 275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/>
      </xdr:nvSpPr>
      <xdr:spPr>
        <a:xfrm>
          <a:off x="550037" y="688924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339</xdr:row>
      <xdr:rowOff>1</xdr:rowOff>
    </xdr:from>
    <xdr:ext cx="371475" cy="0"/>
    <xdr:sp macro="" textlink="">
      <xdr:nvSpPr>
        <xdr:cNvPr id="276" name="Shape 276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/>
      </xdr:nvSpPr>
      <xdr:spPr>
        <a:xfrm>
          <a:off x="8854440" y="6889242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340</xdr:row>
      <xdr:rowOff>15621</xdr:rowOff>
    </xdr:from>
    <xdr:ext cx="114300" cy="114300"/>
    <xdr:pic>
      <xdr:nvPicPr>
        <xdr:cNvPr id="277" name="image1.png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910616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342</xdr:row>
      <xdr:rowOff>324105</xdr:rowOff>
    </xdr:from>
    <xdr:ext cx="2141855" cy="0"/>
    <xdr:sp macro="" textlink="">
      <xdr:nvSpPr>
        <xdr:cNvPr id="278" name="Shape 278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/>
      </xdr:nvSpPr>
      <xdr:spPr>
        <a:xfrm>
          <a:off x="1668834" y="6978040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342</xdr:row>
      <xdr:rowOff>323851</xdr:rowOff>
    </xdr:from>
    <xdr:ext cx="828675" cy="0"/>
    <xdr:sp macro="" textlink="">
      <xdr:nvSpPr>
        <xdr:cNvPr id="279" name="Shape 279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/>
      </xdr:nvSpPr>
      <xdr:spPr>
        <a:xfrm>
          <a:off x="548640" y="6978015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17907</xdr:colOff>
      <xdr:row>342</xdr:row>
      <xdr:rowOff>323851</xdr:rowOff>
    </xdr:from>
    <xdr:ext cx="828675" cy="0"/>
    <xdr:sp macro="" textlink="">
      <xdr:nvSpPr>
        <xdr:cNvPr id="280" name="Shape 280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4437507" y="6978015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342</xdr:row>
      <xdr:rowOff>323851</xdr:rowOff>
    </xdr:from>
    <xdr:ext cx="371475" cy="0"/>
    <xdr:sp macro="" textlink="">
      <xdr:nvSpPr>
        <xdr:cNvPr id="281" name="Shape 281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/>
      </xdr:nvSpPr>
      <xdr:spPr>
        <a:xfrm>
          <a:off x="8837421" y="6978015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344</xdr:row>
      <xdr:rowOff>3176</xdr:rowOff>
    </xdr:from>
    <xdr:ext cx="828675" cy="0"/>
    <xdr:sp macro="" textlink="">
      <xdr:nvSpPr>
        <xdr:cNvPr id="282" name="Shape 282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4424807" y="6997763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344</xdr:row>
      <xdr:rowOff>21971</xdr:rowOff>
    </xdr:from>
    <xdr:ext cx="114300" cy="114300"/>
    <xdr:pic>
      <xdr:nvPicPr>
        <xdr:cNvPr id="283" name="image1.png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99964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347</xdr:row>
      <xdr:rowOff>255</xdr:rowOff>
    </xdr:from>
    <xdr:ext cx="2141855" cy="0"/>
    <xdr:sp macro="" textlink="">
      <xdr:nvSpPr>
        <xdr:cNvPr id="284" name="Shape 284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/>
      </xdr:nvSpPr>
      <xdr:spPr>
        <a:xfrm>
          <a:off x="1650745" y="7066813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347</xdr:row>
      <xdr:rowOff>1</xdr:rowOff>
    </xdr:from>
    <xdr:ext cx="828675" cy="0"/>
    <xdr:sp macro="" textlink="">
      <xdr:nvSpPr>
        <xdr:cNvPr id="285" name="Shape 285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/>
      </xdr:nvSpPr>
      <xdr:spPr>
        <a:xfrm>
          <a:off x="550037" y="7066788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347</xdr:row>
      <xdr:rowOff>1</xdr:rowOff>
    </xdr:from>
    <xdr:ext cx="828675" cy="0"/>
    <xdr:sp macro="" textlink="">
      <xdr:nvSpPr>
        <xdr:cNvPr id="286" name="Shape 286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4403804" y="7066788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347</xdr:row>
      <xdr:rowOff>1</xdr:rowOff>
    </xdr:from>
    <xdr:ext cx="371475" cy="0"/>
    <xdr:sp macro="" textlink="">
      <xdr:nvSpPr>
        <xdr:cNvPr id="287" name="Shape 287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8854440" y="7066788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349</xdr:row>
      <xdr:rowOff>187326</xdr:rowOff>
    </xdr:from>
    <xdr:ext cx="828675" cy="0"/>
    <xdr:sp macro="" textlink="">
      <xdr:nvSpPr>
        <xdr:cNvPr id="288" name="Shape 288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/>
      </xdr:nvSpPr>
      <xdr:spPr>
        <a:xfrm>
          <a:off x="4424807" y="7116762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350</xdr:row>
      <xdr:rowOff>15621</xdr:rowOff>
    </xdr:from>
    <xdr:ext cx="114300" cy="114300"/>
    <xdr:pic>
      <xdr:nvPicPr>
        <xdr:cNvPr id="289" name="image1.png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118642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353</xdr:row>
      <xdr:rowOff>6605</xdr:rowOff>
    </xdr:from>
    <xdr:ext cx="2141855" cy="0"/>
    <xdr:sp macro="" textlink="">
      <xdr:nvSpPr>
        <xdr:cNvPr id="290" name="Shape 290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/>
      </xdr:nvSpPr>
      <xdr:spPr>
        <a:xfrm>
          <a:off x="1650745" y="718555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353</xdr:row>
      <xdr:rowOff>6351</xdr:rowOff>
    </xdr:from>
    <xdr:ext cx="828675" cy="0"/>
    <xdr:sp macro="" textlink="">
      <xdr:nvSpPr>
        <xdr:cNvPr id="291" name="Shape 291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/>
      </xdr:nvSpPr>
      <xdr:spPr>
        <a:xfrm>
          <a:off x="550037" y="71855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353</xdr:row>
      <xdr:rowOff>6351</xdr:rowOff>
    </xdr:from>
    <xdr:ext cx="828675" cy="0"/>
    <xdr:sp macro="" textlink="">
      <xdr:nvSpPr>
        <xdr:cNvPr id="292" name="Shape 292">
          <a:extLst>
            <a:ext uri="{FF2B5EF4-FFF2-40B4-BE49-F238E27FC236}">
              <a16:creationId xmlns:a16="http://schemas.microsoft.com/office/drawing/2014/main" id="{00000000-0008-0000-0200-000024010000}"/>
            </a:ext>
          </a:extLst>
        </xdr:cNvPr>
        <xdr:cNvSpPr/>
      </xdr:nvSpPr>
      <xdr:spPr>
        <a:xfrm>
          <a:off x="4403804" y="71855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353</xdr:row>
      <xdr:rowOff>6351</xdr:rowOff>
    </xdr:from>
    <xdr:ext cx="371475" cy="0"/>
    <xdr:sp macro="" textlink="">
      <xdr:nvSpPr>
        <xdr:cNvPr id="293" name="Shape 293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SpPr/>
      </xdr:nvSpPr>
      <xdr:spPr>
        <a:xfrm>
          <a:off x="8854440" y="718553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354</xdr:row>
      <xdr:rowOff>3176</xdr:rowOff>
    </xdr:from>
    <xdr:ext cx="828675" cy="0"/>
    <xdr:sp macro="" textlink="">
      <xdr:nvSpPr>
        <xdr:cNvPr id="294" name="Shape 294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/>
      </xdr:nvSpPr>
      <xdr:spPr>
        <a:xfrm>
          <a:off x="4424807" y="7205027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354</xdr:row>
      <xdr:rowOff>21971</xdr:rowOff>
    </xdr:from>
    <xdr:ext cx="114300" cy="114300"/>
    <xdr:pic>
      <xdr:nvPicPr>
        <xdr:cNvPr id="295" name="image1.png">
          <a:extLst>
            <a:ext uri="{FF2B5EF4-FFF2-40B4-BE49-F238E27FC236}">
              <a16:creationId xmlns:a16="http://schemas.microsoft.com/office/drawing/2014/main" id="{00000000-0008-0000-0200-00002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20690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357</xdr:row>
      <xdr:rowOff>255</xdr:rowOff>
    </xdr:from>
    <xdr:ext cx="2141855" cy="0"/>
    <xdr:sp macro="" textlink="">
      <xdr:nvSpPr>
        <xdr:cNvPr id="296" name="Shape 296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/>
      </xdr:nvSpPr>
      <xdr:spPr>
        <a:xfrm>
          <a:off x="1650745" y="7274077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357</xdr:row>
      <xdr:rowOff>1</xdr:rowOff>
    </xdr:from>
    <xdr:ext cx="828675" cy="0"/>
    <xdr:sp macro="" textlink="">
      <xdr:nvSpPr>
        <xdr:cNvPr id="297" name="Shape 297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SpPr/>
      </xdr:nvSpPr>
      <xdr:spPr>
        <a:xfrm>
          <a:off x="550037" y="727405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357</xdr:row>
      <xdr:rowOff>1</xdr:rowOff>
    </xdr:from>
    <xdr:ext cx="828675" cy="0"/>
    <xdr:sp macro="" textlink="">
      <xdr:nvSpPr>
        <xdr:cNvPr id="298" name="Shape 298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/>
      </xdr:nvSpPr>
      <xdr:spPr>
        <a:xfrm>
          <a:off x="4403804" y="727405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357</xdr:row>
      <xdr:rowOff>1</xdr:rowOff>
    </xdr:from>
    <xdr:ext cx="371475" cy="0"/>
    <xdr:sp macro="" textlink="">
      <xdr:nvSpPr>
        <xdr:cNvPr id="299" name="Shape 299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/>
      </xdr:nvSpPr>
      <xdr:spPr>
        <a:xfrm>
          <a:off x="8854440" y="7274052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357</xdr:row>
      <xdr:rowOff>200026</xdr:rowOff>
    </xdr:from>
    <xdr:ext cx="828675" cy="0"/>
    <xdr:sp macro="" textlink="">
      <xdr:nvSpPr>
        <xdr:cNvPr id="300" name="Shape 300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/>
      </xdr:nvSpPr>
      <xdr:spPr>
        <a:xfrm>
          <a:off x="4424807" y="7294054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358</xdr:row>
      <xdr:rowOff>15621</xdr:rowOff>
    </xdr:from>
    <xdr:ext cx="114300" cy="114300"/>
    <xdr:pic>
      <xdr:nvPicPr>
        <xdr:cNvPr id="301" name="image1.png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295426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361</xdr:row>
      <xdr:rowOff>6605</xdr:rowOff>
    </xdr:from>
    <xdr:ext cx="2141855" cy="0"/>
    <xdr:sp macro="" textlink="">
      <xdr:nvSpPr>
        <xdr:cNvPr id="302" name="Shape 302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1650745" y="7362342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361</xdr:row>
      <xdr:rowOff>6351</xdr:rowOff>
    </xdr:from>
    <xdr:ext cx="828675" cy="0"/>
    <xdr:sp macro="" textlink="">
      <xdr:nvSpPr>
        <xdr:cNvPr id="303" name="Shape 303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550037" y="736231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361</xdr:row>
      <xdr:rowOff>6351</xdr:rowOff>
    </xdr:from>
    <xdr:ext cx="828675" cy="0"/>
    <xdr:sp macro="" textlink="">
      <xdr:nvSpPr>
        <xdr:cNvPr id="304" name="Shape 304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/>
      </xdr:nvSpPr>
      <xdr:spPr>
        <a:xfrm>
          <a:off x="4403804" y="736231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361</xdr:row>
      <xdr:rowOff>6351</xdr:rowOff>
    </xdr:from>
    <xdr:ext cx="371475" cy="0"/>
    <xdr:sp macro="" textlink="">
      <xdr:nvSpPr>
        <xdr:cNvPr id="305" name="Shape 305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/>
      </xdr:nvSpPr>
      <xdr:spPr>
        <a:xfrm>
          <a:off x="8854440" y="7362317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362</xdr:row>
      <xdr:rowOff>3176</xdr:rowOff>
    </xdr:from>
    <xdr:ext cx="828675" cy="0"/>
    <xdr:sp macro="" textlink="">
      <xdr:nvSpPr>
        <xdr:cNvPr id="306" name="Shape 306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/>
      </xdr:nvSpPr>
      <xdr:spPr>
        <a:xfrm>
          <a:off x="4424807" y="7381811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362</xdr:row>
      <xdr:rowOff>21971</xdr:rowOff>
    </xdr:from>
    <xdr:ext cx="114300" cy="114300"/>
    <xdr:pic>
      <xdr:nvPicPr>
        <xdr:cNvPr id="307" name="image1.png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383691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365</xdr:row>
      <xdr:rowOff>255</xdr:rowOff>
    </xdr:from>
    <xdr:ext cx="2141855" cy="0"/>
    <xdr:sp macro="" textlink="">
      <xdr:nvSpPr>
        <xdr:cNvPr id="308" name="Shape 308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SpPr/>
      </xdr:nvSpPr>
      <xdr:spPr>
        <a:xfrm>
          <a:off x="1650745" y="7450861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365</xdr:row>
      <xdr:rowOff>1</xdr:rowOff>
    </xdr:from>
    <xdr:ext cx="828675" cy="0"/>
    <xdr:sp macro="" textlink="">
      <xdr:nvSpPr>
        <xdr:cNvPr id="309" name="Shape 309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SpPr/>
      </xdr:nvSpPr>
      <xdr:spPr>
        <a:xfrm>
          <a:off x="550037" y="745083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365</xdr:row>
      <xdr:rowOff>1</xdr:rowOff>
    </xdr:from>
    <xdr:ext cx="828675" cy="0"/>
    <xdr:sp macro="" textlink="">
      <xdr:nvSpPr>
        <xdr:cNvPr id="310" name="Shape 310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4403804" y="745083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365</xdr:row>
      <xdr:rowOff>1</xdr:rowOff>
    </xdr:from>
    <xdr:ext cx="371475" cy="0"/>
    <xdr:sp macro="" textlink="">
      <xdr:nvSpPr>
        <xdr:cNvPr id="311" name="Shape 3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/>
      </xdr:nvSpPr>
      <xdr:spPr>
        <a:xfrm>
          <a:off x="8854440" y="7450836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365</xdr:row>
      <xdr:rowOff>200026</xdr:rowOff>
    </xdr:from>
    <xdr:ext cx="828675" cy="0"/>
    <xdr:sp macro="" textlink="">
      <xdr:nvSpPr>
        <xdr:cNvPr id="312" name="Shape 312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/>
      </xdr:nvSpPr>
      <xdr:spPr>
        <a:xfrm>
          <a:off x="4424807" y="7470838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366</xdr:row>
      <xdr:rowOff>15621</xdr:rowOff>
    </xdr:from>
    <xdr:ext cx="114300" cy="114300"/>
    <xdr:pic>
      <xdr:nvPicPr>
        <xdr:cNvPr id="313" name="image1.png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472210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370</xdr:row>
      <xdr:rowOff>21971</xdr:rowOff>
    </xdr:from>
    <xdr:ext cx="114300" cy="114300"/>
    <xdr:pic>
      <xdr:nvPicPr>
        <xdr:cNvPr id="314" name="image1.png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5612371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373</xdr:row>
      <xdr:rowOff>260347</xdr:rowOff>
    </xdr:from>
    <xdr:ext cx="828675" cy="0"/>
    <xdr:sp macro="" textlink="">
      <xdr:nvSpPr>
        <xdr:cNvPr id="315" name="Shape 315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/>
      </xdr:nvSpPr>
      <xdr:spPr>
        <a:xfrm>
          <a:off x="551688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373</xdr:row>
      <xdr:rowOff>260601</xdr:rowOff>
    </xdr:from>
    <xdr:ext cx="2141855" cy="0"/>
    <xdr:sp macro="" textlink="">
      <xdr:nvSpPr>
        <xdr:cNvPr id="316" name="Shape 316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/>
      </xdr:nvSpPr>
      <xdr:spPr>
        <a:xfrm>
          <a:off x="1645920" y="7620152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373</xdr:row>
      <xdr:rowOff>260347</xdr:rowOff>
    </xdr:from>
    <xdr:ext cx="828675" cy="0"/>
    <xdr:sp macro="" textlink="">
      <xdr:nvSpPr>
        <xdr:cNvPr id="317" name="Shape 317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SpPr/>
      </xdr:nvSpPr>
      <xdr:spPr>
        <a:xfrm>
          <a:off x="550037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373</xdr:row>
      <xdr:rowOff>260347</xdr:rowOff>
    </xdr:from>
    <xdr:ext cx="828675" cy="0"/>
    <xdr:sp macro="" textlink="">
      <xdr:nvSpPr>
        <xdr:cNvPr id="318" name="Shape 318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SpPr/>
      </xdr:nvSpPr>
      <xdr:spPr>
        <a:xfrm>
          <a:off x="774192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373</xdr:row>
      <xdr:rowOff>260347</xdr:rowOff>
    </xdr:from>
    <xdr:ext cx="828675" cy="0"/>
    <xdr:sp macro="" textlink="">
      <xdr:nvSpPr>
        <xdr:cNvPr id="319" name="Shape 319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SpPr/>
      </xdr:nvSpPr>
      <xdr:spPr>
        <a:xfrm>
          <a:off x="4419663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373</xdr:row>
      <xdr:rowOff>260347</xdr:rowOff>
    </xdr:from>
    <xdr:ext cx="828675" cy="0"/>
    <xdr:sp macro="" textlink="">
      <xdr:nvSpPr>
        <xdr:cNvPr id="320" name="Shape 320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SpPr/>
      </xdr:nvSpPr>
      <xdr:spPr>
        <a:xfrm>
          <a:off x="662940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373</xdr:row>
      <xdr:rowOff>260347</xdr:rowOff>
    </xdr:from>
    <xdr:ext cx="371475" cy="0"/>
    <xdr:sp macro="" textlink="">
      <xdr:nvSpPr>
        <xdr:cNvPr id="321" name="Shape 321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SpPr/>
      </xdr:nvSpPr>
      <xdr:spPr>
        <a:xfrm>
          <a:off x="8854440" y="7620126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374</xdr:row>
      <xdr:rowOff>21968</xdr:rowOff>
    </xdr:from>
    <xdr:ext cx="114300" cy="114300"/>
    <xdr:pic>
      <xdr:nvPicPr>
        <xdr:cNvPr id="322" name="image1.png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641246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377</xdr:row>
      <xdr:rowOff>251</xdr:rowOff>
    </xdr:from>
    <xdr:ext cx="2141855" cy="0"/>
    <xdr:sp macro="" textlink="">
      <xdr:nvSpPr>
        <xdr:cNvPr id="323" name="Shape 323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/>
      </xdr:nvSpPr>
      <xdr:spPr>
        <a:xfrm>
          <a:off x="1650745" y="7708417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377</xdr:row>
      <xdr:rowOff>-2</xdr:rowOff>
    </xdr:from>
    <xdr:ext cx="828675" cy="0"/>
    <xdr:sp macro="" textlink="">
      <xdr:nvSpPr>
        <xdr:cNvPr id="324" name="Shape 324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/>
      </xdr:nvSpPr>
      <xdr:spPr>
        <a:xfrm>
          <a:off x="550037" y="7708391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377</xdr:row>
      <xdr:rowOff>-2</xdr:rowOff>
    </xdr:from>
    <xdr:ext cx="371475" cy="0"/>
    <xdr:sp macro="" textlink="">
      <xdr:nvSpPr>
        <xdr:cNvPr id="325" name="Shape 325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54440" y="7708391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379</xdr:row>
      <xdr:rowOff>15618</xdr:rowOff>
    </xdr:from>
    <xdr:ext cx="114300" cy="114300"/>
    <xdr:pic>
      <xdr:nvPicPr>
        <xdr:cNvPr id="326" name="image1.png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7450058"/>
          <a:ext cx="114300" cy="114300"/>
        </a:xfrm>
        <a:prstGeom prst="rect">
          <a:avLst/>
        </a:prstGeom>
      </xdr:spPr>
    </xdr:pic>
    <xdr:clientData/>
  </xdr:oneCellAnchor>
  <xdr:oneCellAnchor>
    <xdr:from>
      <xdr:col>1</xdr:col>
      <xdr:colOff>169265</xdr:colOff>
      <xdr:row>381</xdr:row>
      <xdr:rowOff>323847</xdr:rowOff>
    </xdr:from>
    <xdr:ext cx="828675" cy="0"/>
    <xdr:sp macro="" textlink="">
      <xdr:nvSpPr>
        <xdr:cNvPr id="327" name="Shape 327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/>
      </xdr:nvSpPr>
      <xdr:spPr>
        <a:xfrm>
          <a:off x="489305" y="7812404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381</xdr:row>
      <xdr:rowOff>323847</xdr:rowOff>
    </xdr:from>
    <xdr:ext cx="371475" cy="0"/>
    <xdr:sp macro="" textlink="">
      <xdr:nvSpPr>
        <xdr:cNvPr id="328" name="Shape 328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/>
      </xdr:nvSpPr>
      <xdr:spPr>
        <a:xfrm>
          <a:off x="8837421" y="7812404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383</xdr:row>
      <xdr:rowOff>21968</xdr:rowOff>
    </xdr:from>
    <xdr:ext cx="114300" cy="114300"/>
    <xdr:pic>
      <xdr:nvPicPr>
        <xdr:cNvPr id="329" name="image1.png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8340328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386</xdr:row>
      <xdr:rowOff>-2</xdr:rowOff>
    </xdr:from>
    <xdr:ext cx="828675" cy="0"/>
    <xdr:sp macro="" textlink="">
      <xdr:nvSpPr>
        <xdr:cNvPr id="330" name="Shape 330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/>
      </xdr:nvSpPr>
      <xdr:spPr>
        <a:xfrm>
          <a:off x="550037" y="7901177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386</xdr:row>
      <xdr:rowOff>-2</xdr:rowOff>
    </xdr:from>
    <xdr:ext cx="371475" cy="0"/>
    <xdr:sp macro="" textlink="">
      <xdr:nvSpPr>
        <xdr:cNvPr id="331" name="Shape 331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/>
      </xdr:nvSpPr>
      <xdr:spPr>
        <a:xfrm>
          <a:off x="8854440" y="7901177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388</xdr:row>
      <xdr:rowOff>15618</xdr:rowOff>
    </xdr:from>
    <xdr:ext cx="114300" cy="114300"/>
    <xdr:pic>
      <xdr:nvPicPr>
        <xdr:cNvPr id="332" name="image1.png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937791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391</xdr:row>
      <xdr:rowOff>6601</xdr:rowOff>
    </xdr:from>
    <xdr:ext cx="2141855" cy="0"/>
    <xdr:sp macro="" textlink="">
      <xdr:nvSpPr>
        <xdr:cNvPr id="333" name="Shape 333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/>
      </xdr:nvSpPr>
      <xdr:spPr>
        <a:xfrm>
          <a:off x="1650745" y="8004708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391</xdr:row>
      <xdr:rowOff>6347</xdr:rowOff>
    </xdr:from>
    <xdr:ext cx="828675" cy="0"/>
    <xdr:sp macro="" textlink="">
      <xdr:nvSpPr>
        <xdr:cNvPr id="334" name="Shape 334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SpPr/>
      </xdr:nvSpPr>
      <xdr:spPr>
        <a:xfrm>
          <a:off x="550037" y="8004682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391</xdr:row>
      <xdr:rowOff>6347</xdr:rowOff>
    </xdr:from>
    <xdr:ext cx="371475" cy="0"/>
    <xdr:sp macro="" textlink="">
      <xdr:nvSpPr>
        <xdr:cNvPr id="335" name="Shape 335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SpPr/>
      </xdr:nvSpPr>
      <xdr:spPr>
        <a:xfrm>
          <a:off x="8854440" y="8004682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392</xdr:row>
      <xdr:rowOff>21968</xdr:rowOff>
    </xdr:from>
    <xdr:ext cx="114300" cy="114300"/>
    <xdr:pic>
      <xdr:nvPicPr>
        <xdr:cNvPr id="336" name="image1.png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026056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395</xdr:row>
      <xdr:rowOff>251</xdr:rowOff>
    </xdr:from>
    <xdr:ext cx="2141855" cy="0"/>
    <xdr:sp macro="" textlink="">
      <xdr:nvSpPr>
        <xdr:cNvPr id="337" name="Shape 337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/>
      </xdr:nvSpPr>
      <xdr:spPr>
        <a:xfrm>
          <a:off x="1650745" y="8093227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395</xdr:row>
      <xdr:rowOff>-2</xdr:rowOff>
    </xdr:from>
    <xdr:ext cx="828675" cy="0"/>
    <xdr:sp macro="" textlink="">
      <xdr:nvSpPr>
        <xdr:cNvPr id="338" name="Shape 338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/>
      </xdr:nvSpPr>
      <xdr:spPr>
        <a:xfrm>
          <a:off x="550037" y="8093201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395</xdr:row>
      <xdr:rowOff>-2</xdr:rowOff>
    </xdr:from>
    <xdr:ext cx="371475" cy="0"/>
    <xdr:sp macro="" textlink="">
      <xdr:nvSpPr>
        <xdr:cNvPr id="339" name="Shape 339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/>
      </xdr:nvSpPr>
      <xdr:spPr>
        <a:xfrm>
          <a:off x="8854440" y="8093201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396</xdr:row>
      <xdr:rowOff>15618</xdr:rowOff>
    </xdr:from>
    <xdr:ext cx="114300" cy="114300"/>
    <xdr:pic>
      <xdr:nvPicPr>
        <xdr:cNvPr id="340" name="image1.png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114575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398</xdr:row>
      <xdr:rowOff>324101</xdr:rowOff>
    </xdr:from>
    <xdr:ext cx="2141855" cy="0"/>
    <xdr:sp macro="" textlink="">
      <xdr:nvSpPr>
        <xdr:cNvPr id="341" name="Shape 34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SpPr/>
      </xdr:nvSpPr>
      <xdr:spPr>
        <a:xfrm>
          <a:off x="1668834" y="8182000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398</xdr:row>
      <xdr:rowOff>323847</xdr:rowOff>
    </xdr:from>
    <xdr:ext cx="828675" cy="0"/>
    <xdr:sp macro="" textlink="">
      <xdr:nvSpPr>
        <xdr:cNvPr id="342" name="Shape 342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SpPr/>
      </xdr:nvSpPr>
      <xdr:spPr>
        <a:xfrm>
          <a:off x="489305" y="8181974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398</xdr:row>
      <xdr:rowOff>323847</xdr:rowOff>
    </xdr:from>
    <xdr:ext cx="371475" cy="0"/>
    <xdr:sp macro="" textlink="">
      <xdr:nvSpPr>
        <xdr:cNvPr id="343" name="Shape 343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SpPr/>
      </xdr:nvSpPr>
      <xdr:spPr>
        <a:xfrm>
          <a:off x="8837421" y="8181974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401</xdr:row>
      <xdr:rowOff>21968</xdr:rowOff>
    </xdr:from>
    <xdr:ext cx="114300" cy="114300"/>
    <xdr:pic>
      <xdr:nvPicPr>
        <xdr:cNvPr id="344" name="image1.png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218080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404</xdr:row>
      <xdr:rowOff>251</xdr:rowOff>
    </xdr:from>
    <xdr:ext cx="2141855" cy="0"/>
    <xdr:sp macro="" textlink="">
      <xdr:nvSpPr>
        <xdr:cNvPr id="345" name="Shape 345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SpPr/>
      </xdr:nvSpPr>
      <xdr:spPr>
        <a:xfrm>
          <a:off x="1650745" y="8285251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404</xdr:row>
      <xdr:rowOff>-2</xdr:rowOff>
    </xdr:from>
    <xdr:ext cx="828675" cy="0"/>
    <xdr:sp macro="" textlink="">
      <xdr:nvSpPr>
        <xdr:cNvPr id="346" name="Shape 346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SpPr/>
      </xdr:nvSpPr>
      <xdr:spPr>
        <a:xfrm>
          <a:off x="550037" y="8285225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404</xdr:row>
      <xdr:rowOff>-2</xdr:rowOff>
    </xdr:from>
    <xdr:ext cx="371475" cy="0"/>
    <xdr:sp macro="" textlink="">
      <xdr:nvSpPr>
        <xdr:cNvPr id="347" name="Shape 347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SpPr/>
      </xdr:nvSpPr>
      <xdr:spPr>
        <a:xfrm>
          <a:off x="8854440" y="8285225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405</xdr:row>
      <xdr:rowOff>15618</xdr:rowOff>
    </xdr:from>
    <xdr:ext cx="114300" cy="114300"/>
    <xdr:pic>
      <xdr:nvPicPr>
        <xdr:cNvPr id="348" name="image1.png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3065998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408</xdr:row>
      <xdr:rowOff>6347</xdr:rowOff>
    </xdr:from>
    <xdr:ext cx="828675" cy="0"/>
    <xdr:sp macro="" textlink="">
      <xdr:nvSpPr>
        <xdr:cNvPr id="349" name="Shape 349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550037" y="8373490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408</xdr:row>
      <xdr:rowOff>6347</xdr:rowOff>
    </xdr:from>
    <xdr:ext cx="371475" cy="0"/>
    <xdr:sp macro="" textlink="">
      <xdr:nvSpPr>
        <xdr:cNvPr id="350" name="Shape 350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SpPr/>
      </xdr:nvSpPr>
      <xdr:spPr>
        <a:xfrm>
          <a:off x="8854440" y="8373490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411</xdr:row>
      <xdr:rowOff>21968</xdr:rowOff>
    </xdr:from>
    <xdr:ext cx="114300" cy="114300"/>
    <xdr:pic>
      <xdr:nvPicPr>
        <xdr:cNvPr id="351" name="image1.png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4253448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9905</xdr:colOff>
      <xdr:row>416</xdr:row>
      <xdr:rowOff>6350</xdr:rowOff>
    </xdr:from>
    <xdr:ext cx="828675" cy="0"/>
    <xdr:sp macro="" textlink="">
      <xdr:nvSpPr>
        <xdr:cNvPr id="352" name="Shape 352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/>
      </xdr:nvSpPr>
      <xdr:spPr>
        <a:xfrm>
          <a:off x="5526785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4952</xdr:colOff>
      <xdr:row>416</xdr:row>
      <xdr:rowOff>6604</xdr:rowOff>
    </xdr:from>
    <xdr:ext cx="2141855" cy="0"/>
    <xdr:sp macro="" textlink="">
      <xdr:nvSpPr>
        <xdr:cNvPr id="353" name="Shape 353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/>
      </xdr:nvSpPr>
      <xdr:spPr>
        <a:xfrm>
          <a:off x="1650872" y="8487816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14224</xdr:colOff>
      <xdr:row>416</xdr:row>
      <xdr:rowOff>6350</xdr:rowOff>
    </xdr:from>
    <xdr:ext cx="828675" cy="0"/>
    <xdr:sp macro="" textlink="">
      <xdr:nvSpPr>
        <xdr:cNvPr id="354" name="Shape 354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/>
      </xdr:nvSpPr>
      <xdr:spPr>
        <a:xfrm>
          <a:off x="562864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2794</xdr:colOff>
      <xdr:row>416</xdr:row>
      <xdr:rowOff>6350</xdr:rowOff>
    </xdr:from>
    <xdr:ext cx="828675" cy="0"/>
    <xdr:sp macro="" textlink="">
      <xdr:nvSpPr>
        <xdr:cNvPr id="355" name="Shape 355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/>
      </xdr:nvSpPr>
      <xdr:spPr>
        <a:xfrm>
          <a:off x="7744714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5460</xdr:colOff>
      <xdr:row>416</xdr:row>
      <xdr:rowOff>6350</xdr:rowOff>
    </xdr:from>
    <xdr:ext cx="828675" cy="0"/>
    <xdr:sp macro="" textlink="">
      <xdr:nvSpPr>
        <xdr:cNvPr id="356" name="Shape 356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4425060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11557</xdr:colOff>
      <xdr:row>416</xdr:row>
      <xdr:rowOff>6350</xdr:rowOff>
    </xdr:from>
    <xdr:ext cx="828675" cy="0"/>
    <xdr:sp macro="" textlink="">
      <xdr:nvSpPr>
        <xdr:cNvPr id="357" name="Shape 357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SpPr/>
      </xdr:nvSpPr>
      <xdr:spPr>
        <a:xfrm>
          <a:off x="6640957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1651</xdr:colOff>
      <xdr:row>416</xdr:row>
      <xdr:rowOff>6350</xdr:rowOff>
    </xdr:from>
    <xdr:ext cx="371475" cy="0"/>
    <xdr:sp macro="" textlink="">
      <xdr:nvSpPr>
        <xdr:cNvPr id="358" name="Shape 358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SpPr/>
      </xdr:nvSpPr>
      <xdr:spPr>
        <a:xfrm>
          <a:off x="8856091" y="8487791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419</xdr:row>
      <xdr:rowOff>257429</xdr:rowOff>
    </xdr:from>
    <xdr:ext cx="2141855" cy="0"/>
    <xdr:sp macro="" textlink="">
      <xdr:nvSpPr>
        <xdr:cNvPr id="359" name="Shape 359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SpPr/>
      </xdr:nvSpPr>
      <xdr:spPr>
        <a:xfrm>
          <a:off x="1650745" y="8544140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419</xdr:row>
      <xdr:rowOff>257175</xdr:rowOff>
    </xdr:from>
    <xdr:ext cx="828675" cy="0"/>
    <xdr:sp macro="" textlink="">
      <xdr:nvSpPr>
        <xdr:cNvPr id="360" name="Shape 360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SpPr/>
      </xdr:nvSpPr>
      <xdr:spPr>
        <a:xfrm>
          <a:off x="550037" y="8544115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419</xdr:row>
      <xdr:rowOff>257175</xdr:rowOff>
    </xdr:from>
    <xdr:ext cx="371475" cy="0"/>
    <xdr:sp macro="" textlink="">
      <xdr:nvSpPr>
        <xdr:cNvPr id="361" name="Shape 361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SpPr/>
      </xdr:nvSpPr>
      <xdr:spPr>
        <a:xfrm>
          <a:off x="8854440" y="8544115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421</xdr:row>
      <xdr:rowOff>25145</xdr:rowOff>
    </xdr:from>
    <xdr:ext cx="114300" cy="114300"/>
    <xdr:pic>
      <xdr:nvPicPr>
        <xdr:cNvPr id="362" name="image1.png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568156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424</xdr:row>
      <xdr:rowOff>3429</xdr:rowOff>
    </xdr:from>
    <xdr:ext cx="2141855" cy="0"/>
    <xdr:sp macro="" textlink="">
      <xdr:nvSpPr>
        <xdr:cNvPr id="363" name="Shape 363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SpPr/>
      </xdr:nvSpPr>
      <xdr:spPr>
        <a:xfrm>
          <a:off x="1650745" y="8635326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424</xdr:row>
      <xdr:rowOff>3175</xdr:rowOff>
    </xdr:from>
    <xdr:ext cx="828675" cy="0"/>
    <xdr:sp macro="" textlink="">
      <xdr:nvSpPr>
        <xdr:cNvPr id="364" name="Shape 364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SpPr/>
      </xdr:nvSpPr>
      <xdr:spPr>
        <a:xfrm>
          <a:off x="550037" y="863530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424</xdr:row>
      <xdr:rowOff>3175</xdr:rowOff>
    </xdr:from>
    <xdr:ext cx="371475" cy="0"/>
    <xdr:sp macro="" textlink="">
      <xdr:nvSpPr>
        <xdr:cNvPr id="365" name="Shape 365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SpPr/>
      </xdr:nvSpPr>
      <xdr:spPr>
        <a:xfrm>
          <a:off x="8854440" y="8635301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427</xdr:row>
      <xdr:rowOff>327279</xdr:rowOff>
    </xdr:from>
    <xdr:ext cx="2141855" cy="0"/>
    <xdr:sp macro="" textlink="">
      <xdr:nvSpPr>
        <xdr:cNvPr id="366" name="Shape 366">
          <a:extLst>
            <a:ext uri="{FF2B5EF4-FFF2-40B4-BE49-F238E27FC236}">
              <a16:creationId xmlns:a16="http://schemas.microsoft.com/office/drawing/2014/main" id="{00000000-0008-0000-0200-00006E010000}"/>
            </a:ext>
          </a:extLst>
        </xdr:cNvPr>
        <xdr:cNvSpPr/>
      </xdr:nvSpPr>
      <xdr:spPr>
        <a:xfrm>
          <a:off x="1650745" y="8724099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427</xdr:row>
      <xdr:rowOff>327025</xdr:rowOff>
    </xdr:from>
    <xdr:ext cx="828675" cy="0"/>
    <xdr:sp macro="" textlink="">
      <xdr:nvSpPr>
        <xdr:cNvPr id="367" name="Shape 367">
          <a:extLst>
            <a:ext uri="{FF2B5EF4-FFF2-40B4-BE49-F238E27FC236}">
              <a16:creationId xmlns:a16="http://schemas.microsoft.com/office/drawing/2014/main" id="{00000000-0008-0000-0200-00006F010000}"/>
            </a:ext>
          </a:extLst>
        </xdr:cNvPr>
        <xdr:cNvSpPr/>
      </xdr:nvSpPr>
      <xdr:spPr>
        <a:xfrm>
          <a:off x="550037" y="872407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427</xdr:row>
      <xdr:rowOff>327025</xdr:rowOff>
    </xdr:from>
    <xdr:ext cx="371475" cy="0"/>
    <xdr:sp macro="" textlink="">
      <xdr:nvSpPr>
        <xdr:cNvPr id="368" name="Shape 368">
          <a:extLst>
            <a:ext uri="{FF2B5EF4-FFF2-40B4-BE49-F238E27FC236}">
              <a16:creationId xmlns:a16="http://schemas.microsoft.com/office/drawing/2014/main" id="{00000000-0008-0000-0200-000070010000}"/>
            </a:ext>
          </a:extLst>
        </xdr:cNvPr>
        <xdr:cNvSpPr/>
      </xdr:nvSpPr>
      <xdr:spPr>
        <a:xfrm>
          <a:off x="8854440" y="8724074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429</xdr:row>
      <xdr:rowOff>25145</xdr:rowOff>
    </xdr:from>
    <xdr:ext cx="114300" cy="114300"/>
    <xdr:pic>
      <xdr:nvPicPr>
        <xdr:cNvPr id="369" name="image1.png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745702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432</xdr:row>
      <xdr:rowOff>3429</xdr:rowOff>
    </xdr:from>
    <xdr:ext cx="2141855" cy="0"/>
    <xdr:sp macro="" textlink="">
      <xdr:nvSpPr>
        <xdr:cNvPr id="370" name="Shape 370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/>
      </xdr:nvSpPr>
      <xdr:spPr>
        <a:xfrm>
          <a:off x="1650745" y="8812872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432</xdr:row>
      <xdr:rowOff>3175</xdr:rowOff>
    </xdr:from>
    <xdr:ext cx="828675" cy="0"/>
    <xdr:sp macro="" textlink="">
      <xdr:nvSpPr>
        <xdr:cNvPr id="371" name="Shape 37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/>
      </xdr:nvSpPr>
      <xdr:spPr>
        <a:xfrm>
          <a:off x="550037" y="88128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432</xdr:row>
      <xdr:rowOff>3175</xdr:rowOff>
    </xdr:from>
    <xdr:ext cx="828675" cy="0"/>
    <xdr:sp macro="" textlink="">
      <xdr:nvSpPr>
        <xdr:cNvPr id="372" name="Shape 372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/>
      </xdr:nvSpPr>
      <xdr:spPr>
        <a:xfrm>
          <a:off x="4403808" y="88128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432</xdr:row>
      <xdr:rowOff>3175</xdr:rowOff>
    </xdr:from>
    <xdr:ext cx="371475" cy="0"/>
    <xdr:sp macro="" textlink="">
      <xdr:nvSpPr>
        <xdr:cNvPr id="373" name="Shape 373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/>
      </xdr:nvSpPr>
      <xdr:spPr>
        <a:xfrm>
          <a:off x="8854440" y="8812847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433</xdr:row>
      <xdr:rowOff>0</xdr:rowOff>
    </xdr:from>
    <xdr:ext cx="828675" cy="0"/>
    <xdr:sp macro="" textlink="">
      <xdr:nvSpPr>
        <xdr:cNvPr id="374" name="Shape 374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/>
      </xdr:nvSpPr>
      <xdr:spPr>
        <a:xfrm>
          <a:off x="4424807" y="883234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433</xdr:row>
      <xdr:rowOff>18795</xdr:rowOff>
    </xdr:from>
    <xdr:ext cx="114300" cy="114300"/>
    <xdr:pic>
      <xdr:nvPicPr>
        <xdr:cNvPr id="375" name="image1.png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834221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435</xdr:row>
      <xdr:rowOff>327279</xdr:rowOff>
    </xdr:from>
    <xdr:ext cx="2141855" cy="0"/>
    <xdr:sp macro="" textlink="">
      <xdr:nvSpPr>
        <xdr:cNvPr id="376" name="Shape 376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1650745" y="8901645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435</xdr:row>
      <xdr:rowOff>327025</xdr:rowOff>
    </xdr:from>
    <xdr:ext cx="828675" cy="0"/>
    <xdr:sp macro="" textlink="">
      <xdr:nvSpPr>
        <xdr:cNvPr id="377" name="Shape 377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/>
      </xdr:nvSpPr>
      <xdr:spPr>
        <a:xfrm>
          <a:off x="550037" y="890162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435</xdr:row>
      <xdr:rowOff>327025</xdr:rowOff>
    </xdr:from>
    <xdr:ext cx="828675" cy="0"/>
    <xdr:sp macro="" textlink="">
      <xdr:nvSpPr>
        <xdr:cNvPr id="378" name="Shape 378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/>
      </xdr:nvSpPr>
      <xdr:spPr>
        <a:xfrm>
          <a:off x="4403808" y="890162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435</xdr:row>
      <xdr:rowOff>327025</xdr:rowOff>
    </xdr:from>
    <xdr:ext cx="371475" cy="0"/>
    <xdr:sp macro="" textlink="">
      <xdr:nvSpPr>
        <xdr:cNvPr id="379" name="Shape 379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/>
      </xdr:nvSpPr>
      <xdr:spPr>
        <a:xfrm>
          <a:off x="8854440" y="8901620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437</xdr:row>
      <xdr:rowOff>6350</xdr:rowOff>
    </xdr:from>
    <xdr:ext cx="828675" cy="0"/>
    <xdr:sp macro="" textlink="">
      <xdr:nvSpPr>
        <xdr:cNvPr id="380" name="Shape 380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4424807" y="892136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437</xdr:row>
      <xdr:rowOff>25145</xdr:rowOff>
    </xdr:from>
    <xdr:ext cx="114300" cy="114300"/>
    <xdr:pic>
      <xdr:nvPicPr>
        <xdr:cNvPr id="381" name="image1.png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923248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440</xdr:row>
      <xdr:rowOff>3429</xdr:rowOff>
    </xdr:from>
    <xdr:ext cx="2141855" cy="0"/>
    <xdr:sp macro="" textlink="">
      <xdr:nvSpPr>
        <xdr:cNvPr id="382" name="Shape 382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/>
      </xdr:nvSpPr>
      <xdr:spPr>
        <a:xfrm>
          <a:off x="1650745" y="899041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440</xdr:row>
      <xdr:rowOff>3175</xdr:rowOff>
    </xdr:from>
    <xdr:ext cx="828675" cy="0"/>
    <xdr:sp macro="" textlink="">
      <xdr:nvSpPr>
        <xdr:cNvPr id="383" name="Shape 383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/>
      </xdr:nvSpPr>
      <xdr:spPr>
        <a:xfrm>
          <a:off x="550037" y="899039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440</xdr:row>
      <xdr:rowOff>3175</xdr:rowOff>
    </xdr:from>
    <xdr:ext cx="828675" cy="0"/>
    <xdr:sp macro="" textlink="">
      <xdr:nvSpPr>
        <xdr:cNvPr id="384" name="Shape 384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/>
      </xdr:nvSpPr>
      <xdr:spPr>
        <a:xfrm>
          <a:off x="4403808" y="899039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440</xdr:row>
      <xdr:rowOff>3175</xdr:rowOff>
    </xdr:from>
    <xdr:ext cx="371475" cy="0"/>
    <xdr:sp macro="" textlink="">
      <xdr:nvSpPr>
        <xdr:cNvPr id="385" name="Shape 385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SpPr/>
      </xdr:nvSpPr>
      <xdr:spPr>
        <a:xfrm>
          <a:off x="8854440" y="899039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441</xdr:row>
      <xdr:rowOff>0</xdr:rowOff>
    </xdr:from>
    <xdr:ext cx="828675" cy="0"/>
    <xdr:sp macro="" textlink="">
      <xdr:nvSpPr>
        <xdr:cNvPr id="386" name="Shape 386">
          <a:extLst>
            <a:ext uri="{FF2B5EF4-FFF2-40B4-BE49-F238E27FC236}">
              <a16:creationId xmlns:a16="http://schemas.microsoft.com/office/drawing/2014/main" id="{00000000-0008-0000-0200-000082010000}"/>
            </a:ext>
          </a:extLst>
        </xdr:cNvPr>
        <xdr:cNvSpPr/>
      </xdr:nvSpPr>
      <xdr:spPr>
        <a:xfrm>
          <a:off x="4424807" y="900988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441</xdr:row>
      <xdr:rowOff>18795</xdr:rowOff>
    </xdr:from>
    <xdr:ext cx="114300" cy="114300"/>
    <xdr:pic>
      <xdr:nvPicPr>
        <xdr:cNvPr id="387" name="image1.png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011767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443</xdr:row>
      <xdr:rowOff>327279</xdr:rowOff>
    </xdr:from>
    <xdr:ext cx="2141855" cy="0"/>
    <xdr:sp macro="" textlink="">
      <xdr:nvSpPr>
        <xdr:cNvPr id="388" name="Shape 388">
          <a:extLst>
            <a:ext uri="{FF2B5EF4-FFF2-40B4-BE49-F238E27FC236}">
              <a16:creationId xmlns:a16="http://schemas.microsoft.com/office/drawing/2014/main" id="{00000000-0008-0000-0200-000084010000}"/>
            </a:ext>
          </a:extLst>
        </xdr:cNvPr>
        <xdr:cNvSpPr/>
      </xdr:nvSpPr>
      <xdr:spPr>
        <a:xfrm>
          <a:off x="1650745" y="9079191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443</xdr:row>
      <xdr:rowOff>327025</xdr:rowOff>
    </xdr:from>
    <xdr:ext cx="828675" cy="0"/>
    <xdr:sp macro="" textlink="">
      <xdr:nvSpPr>
        <xdr:cNvPr id="389" name="Shape 389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SpPr/>
      </xdr:nvSpPr>
      <xdr:spPr>
        <a:xfrm>
          <a:off x="550037" y="907916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443</xdr:row>
      <xdr:rowOff>327025</xdr:rowOff>
    </xdr:from>
    <xdr:ext cx="828675" cy="0"/>
    <xdr:sp macro="" textlink="">
      <xdr:nvSpPr>
        <xdr:cNvPr id="390" name="Shape 390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4403808" y="907916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443</xdr:row>
      <xdr:rowOff>327025</xdr:rowOff>
    </xdr:from>
    <xdr:ext cx="371475" cy="0"/>
    <xdr:sp macro="" textlink="">
      <xdr:nvSpPr>
        <xdr:cNvPr id="391" name="Shape 391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8854440" y="9079166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445</xdr:row>
      <xdr:rowOff>6350</xdr:rowOff>
    </xdr:from>
    <xdr:ext cx="828675" cy="0"/>
    <xdr:sp macro="" textlink="">
      <xdr:nvSpPr>
        <xdr:cNvPr id="392" name="Shape 392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/>
      </xdr:nvSpPr>
      <xdr:spPr>
        <a:xfrm>
          <a:off x="4424807" y="9098915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445</xdr:row>
      <xdr:rowOff>25145</xdr:rowOff>
    </xdr:from>
    <xdr:ext cx="114300" cy="114300"/>
    <xdr:pic>
      <xdr:nvPicPr>
        <xdr:cNvPr id="393" name="image1.png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100794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448</xdr:row>
      <xdr:rowOff>3429</xdr:rowOff>
    </xdr:from>
    <xdr:ext cx="2141855" cy="0"/>
    <xdr:sp macro="" textlink="">
      <xdr:nvSpPr>
        <xdr:cNvPr id="394" name="Shape 394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/>
      </xdr:nvSpPr>
      <xdr:spPr>
        <a:xfrm>
          <a:off x="1650745" y="9167964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448</xdr:row>
      <xdr:rowOff>3175</xdr:rowOff>
    </xdr:from>
    <xdr:ext cx="828675" cy="0"/>
    <xdr:sp macro="" textlink="">
      <xdr:nvSpPr>
        <xdr:cNvPr id="395" name="Shape 395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/>
      </xdr:nvSpPr>
      <xdr:spPr>
        <a:xfrm>
          <a:off x="550037" y="9167939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448</xdr:row>
      <xdr:rowOff>3175</xdr:rowOff>
    </xdr:from>
    <xdr:ext cx="828675" cy="0"/>
    <xdr:sp macro="" textlink="">
      <xdr:nvSpPr>
        <xdr:cNvPr id="396" name="Shape 396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4403808" y="9167939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448</xdr:row>
      <xdr:rowOff>3175</xdr:rowOff>
    </xdr:from>
    <xdr:ext cx="371475" cy="0"/>
    <xdr:sp macro="" textlink="">
      <xdr:nvSpPr>
        <xdr:cNvPr id="397" name="Shape 397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8854440" y="9167939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449</xdr:row>
      <xdr:rowOff>0</xdr:rowOff>
    </xdr:from>
    <xdr:ext cx="828675" cy="0"/>
    <xdr:sp macro="" textlink="">
      <xdr:nvSpPr>
        <xdr:cNvPr id="398" name="Shape 398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/>
      </xdr:nvSpPr>
      <xdr:spPr>
        <a:xfrm>
          <a:off x="4424807" y="918743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449</xdr:row>
      <xdr:rowOff>18795</xdr:rowOff>
    </xdr:from>
    <xdr:ext cx="114300" cy="114299"/>
    <xdr:pic>
      <xdr:nvPicPr>
        <xdr:cNvPr id="399" name="image1.png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1893135"/>
          <a:ext cx="114300" cy="114299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451</xdr:row>
      <xdr:rowOff>327279</xdr:rowOff>
    </xdr:from>
    <xdr:ext cx="2141855" cy="0"/>
    <xdr:sp macro="" textlink="">
      <xdr:nvSpPr>
        <xdr:cNvPr id="400" name="Shape 400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/>
      </xdr:nvSpPr>
      <xdr:spPr>
        <a:xfrm>
          <a:off x="1650745" y="9256737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451</xdr:row>
      <xdr:rowOff>327025</xdr:rowOff>
    </xdr:from>
    <xdr:ext cx="828675" cy="0"/>
    <xdr:sp macro="" textlink="">
      <xdr:nvSpPr>
        <xdr:cNvPr id="401" name="Shape 401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/>
      </xdr:nvSpPr>
      <xdr:spPr>
        <a:xfrm>
          <a:off x="550037" y="9256712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451</xdr:row>
      <xdr:rowOff>327025</xdr:rowOff>
    </xdr:from>
    <xdr:ext cx="828675" cy="0"/>
    <xdr:sp macro="" textlink="">
      <xdr:nvSpPr>
        <xdr:cNvPr id="402" name="Shape 402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/>
      </xdr:nvSpPr>
      <xdr:spPr>
        <a:xfrm>
          <a:off x="4403808" y="9256712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451</xdr:row>
      <xdr:rowOff>327025</xdr:rowOff>
    </xdr:from>
    <xdr:ext cx="371475" cy="0"/>
    <xdr:sp macro="" textlink="">
      <xdr:nvSpPr>
        <xdr:cNvPr id="403" name="Shape 403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8854440" y="9256712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453</xdr:row>
      <xdr:rowOff>6350</xdr:rowOff>
    </xdr:from>
    <xdr:ext cx="828675" cy="0"/>
    <xdr:sp macro="" textlink="">
      <xdr:nvSpPr>
        <xdr:cNvPr id="404" name="Shape 404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4424807" y="927646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453</xdr:row>
      <xdr:rowOff>25145</xdr:rowOff>
    </xdr:from>
    <xdr:ext cx="114300" cy="114300"/>
    <xdr:pic>
      <xdr:nvPicPr>
        <xdr:cNvPr id="405" name="image1.png">
          <a:extLst>
            <a:ext uri="{FF2B5EF4-FFF2-40B4-BE49-F238E27FC236}">
              <a16:creationId xmlns:a16="http://schemas.microsoft.com/office/drawing/2014/main" id="{00000000-0008-0000-0200-00009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2783405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456</xdr:row>
      <xdr:rowOff>260352</xdr:rowOff>
    </xdr:from>
    <xdr:ext cx="828675" cy="0"/>
    <xdr:sp macro="" textlink="">
      <xdr:nvSpPr>
        <xdr:cNvPr id="406" name="Shape 406">
          <a:extLst>
            <a:ext uri="{FF2B5EF4-FFF2-40B4-BE49-F238E27FC236}">
              <a16:creationId xmlns:a16="http://schemas.microsoft.com/office/drawing/2014/main" id="{00000000-0008-0000-0200-000096010000}"/>
            </a:ext>
          </a:extLst>
        </xdr:cNvPr>
        <xdr:cNvSpPr/>
      </xdr:nvSpPr>
      <xdr:spPr>
        <a:xfrm>
          <a:off x="551688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456</xdr:row>
      <xdr:rowOff>260606</xdr:rowOff>
    </xdr:from>
    <xdr:ext cx="2141855" cy="0"/>
    <xdr:sp macro="" textlink="">
      <xdr:nvSpPr>
        <xdr:cNvPr id="407" name="Shape 407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SpPr/>
      </xdr:nvSpPr>
      <xdr:spPr>
        <a:xfrm>
          <a:off x="1645920" y="933693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456</xdr:row>
      <xdr:rowOff>260352</xdr:rowOff>
    </xdr:from>
    <xdr:ext cx="828675" cy="0"/>
    <xdr:sp macro="" textlink="">
      <xdr:nvSpPr>
        <xdr:cNvPr id="408" name="Shape 408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/>
      </xdr:nvSpPr>
      <xdr:spPr>
        <a:xfrm>
          <a:off x="550037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456</xdr:row>
      <xdr:rowOff>260352</xdr:rowOff>
    </xdr:from>
    <xdr:ext cx="828675" cy="0"/>
    <xdr:sp macro="" textlink="">
      <xdr:nvSpPr>
        <xdr:cNvPr id="409" name="Shape 409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/>
      </xdr:nvSpPr>
      <xdr:spPr>
        <a:xfrm>
          <a:off x="774192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456</xdr:row>
      <xdr:rowOff>260352</xdr:rowOff>
    </xdr:from>
    <xdr:ext cx="828675" cy="0"/>
    <xdr:sp macro="" textlink="">
      <xdr:nvSpPr>
        <xdr:cNvPr id="410" name="Shape 410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/>
      </xdr:nvSpPr>
      <xdr:spPr>
        <a:xfrm>
          <a:off x="4419663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456</xdr:row>
      <xdr:rowOff>260352</xdr:rowOff>
    </xdr:from>
    <xdr:ext cx="828675" cy="0"/>
    <xdr:sp macro="" textlink="">
      <xdr:nvSpPr>
        <xdr:cNvPr id="411" name="Shape 411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/>
      </xdr:nvSpPr>
      <xdr:spPr>
        <a:xfrm>
          <a:off x="662940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456</xdr:row>
      <xdr:rowOff>260352</xdr:rowOff>
    </xdr:from>
    <xdr:ext cx="371475" cy="0"/>
    <xdr:sp macro="" textlink="">
      <xdr:nvSpPr>
        <xdr:cNvPr id="412" name="Shape 412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8854440" y="933691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457</xdr:row>
      <xdr:rowOff>21973</xdr:rowOff>
    </xdr:from>
    <xdr:ext cx="114300" cy="114300"/>
    <xdr:pic>
      <xdr:nvPicPr>
        <xdr:cNvPr id="413" name="image1.png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358033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460</xdr:row>
      <xdr:rowOff>256</xdr:rowOff>
    </xdr:from>
    <xdr:ext cx="2141855" cy="0"/>
    <xdr:sp macro="" textlink="">
      <xdr:nvSpPr>
        <xdr:cNvPr id="414" name="Shape 414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/>
      </xdr:nvSpPr>
      <xdr:spPr>
        <a:xfrm>
          <a:off x="1613874" y="9425203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460</xdr:row>
      <xdr:rowOff>2</xdr:rowOff>
    </xdr:from>
    <xdr:ext cx="828675" cy="0"/>
    <xdr:sp macro="" textlink="">
      <xdr:nvSpPr>
        <xdr:cNvPr id="415" name="Shape 415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489305" y="9425178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460</xdr:row>
      <xdr:rowOff>2</xdr:rowOff>
    </xdr:from>
    <xdr:ext cx="371475" cy="0"/>
    <xdr:sp macro="" textlink="">
      <xdr:nvSpPr>
        <xdr:cNvPr id="416" name="Shape 416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8854440" y="9425178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461</xdr:row>
      <xdr:rowOff>15623</xdr:rowOff>
    </xdr:from>
    <xdr:ext cx="114300" cy="114300"/>
    <xdr:pic>
      <xdr:nvPicPr>
        <xdr:cNvPr id="417" name="image1.png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446552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464</xdr:row>
      <xdr:rowOff>6606</xdr:rowOff>
    </xdr:from>
    <xdr:ext cx="2141855" cy="0"/>
    <xdr:sp macro="" textlink="">
      <xdr:nvSpPr>
        <xdr:cNvPr id="418" name="Shape 418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SpPr/>
      </xdr:nvSpPr>
      <xdr:spPr>
        <a:xfrm>
          <a:off x="1650745" y="951346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464</xdr:row>
      <xdr:rowOff>6352</xdr:rowOff>
    </xdr:from>
    <xdr:ext cx="828675" cy="0"/>
    <xdr:sp macro="" textlink="">
      <xdr:nvSpPr>
        <xdr:cNvPr id="419" name="Shape 419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/>
      </xdr:nvSpPr>
      <xdr:spPr>
        <a:xfrm>
          <a:off x="550037" y="951344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464</xdr:row>
      <xdr:rowOff>6352</xdr:rowOff>
    </xdr:from>
    <xdr:ext cx="371475" cy="0"/>
    <xdr:sp macro="" textlink="">
      <xdr:nvSpPr>
        <xdr:cNvPr id="420" name="Shape 420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/>
      </xdr:nvSpPr>
      <xdr:spPr>
        <a:xfrm>
          <a:off x="8854440" y="951344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465</xdr:row>
      <xdr:rowOff>21973</xdr:rowOff>
    </xdr:from>
    <xdr:ext cx="114300" cy="114300"/>
    <xdr:pic>
      <xdr:nvPicPr>
        <xdr:cNvPr id="421" name="image1.png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534817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468</xdr:row>
      <xdr:rowOff>256</xdr:rowOff>
    </xdr:from>
    <xdr:ext cx="2141855" cy="0"/>
    <xdr:sp macro="" textlink="">
      <xdr:nvSpPr>
        <xdr:cNvPr id="422" name="Shape 422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/>
      </xdr:nvSpPr>
      <xdr:spPr>
        <a:xfrm>
          <a:off x="1613874" y="9601987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468</xdr:row>
      <xdr:rowOff>2</xdr:rowOff>
    </xdr:from>
    <xdr:ext cx="828675" cy="0"/>
    <xdr:sp macro="" textlink="">
      <xdr:nvSpPr>
        <xdr:cNvPr id="423" name="Shape 423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489305" y="9601962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468</xdr:row>
      <xdr:rowOff>2</xdr:rowOff>
    </xdr:from>
    <xdr:ext cx="371475" cy="0"/>
    <xdr:sp macro="" textlink="">
      <xdr:nvSpPr>
        <xdr:cNvPr id="424" name="Shape 424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8854440" y="9601962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470</xdr:row>
      <xdr:rowOff>15623</xdr:rowOff>
    </xdr:from>
    <xdr:ext cx="114300" cy="114300"/>
    <xdr:pic>
      <xdr:nvPicPr>
        <xdr:cNvPr id="425" name="image1.png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638576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473</xdr:row>
      <xdr:rowOff>6606</xdr:rowOff>
    </xdr:from>
    <xdr:ext cx="2141855" cy="0"/>
    <xdr:sp macro="" textlink="">
      <xdr:nvSpPr>
        <xdr:cNvPr id="426" name="Shape 426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/>
      </xdr:nvSpPr>
      <xdr:spPr>
        <a:xfrm>
          <a:off x="1650745" y="9705492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473</xdr:row>
      <xdr:rowOff>6352</xdr:rowOff>
    </xdr:from>
    <xdr:ext cx="828675" cy="0"/>
    <xdr:sp macro="" textlink="">
      <xdr:nvSpPr>
        <xdr:cNvPr id="427" name="Shape 427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/>
      </xdr:nvSpPr>
      <xdr:spPr>
        <a:xfrm>
          <a:off x="550037" y="9705467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473</xdr:row>
      <xdr:rowOff>6352</xdr:rowOff>
    </xdr:from>
    <xdr:ext cx="371475" cy="0"/>
    <xdr:sp macro="" textlink="">
      <xdr:nvSpPr>
        <xdr:cNvPr id="428" name="Shape 428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8854440" y="9705467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474</xdr:row>
      <xdr:rowOff>21973</xdr:rowOff>
    </xdr:from>
    <xdr:ext cx="114300" cy="114300"/>
    <xdr:pic>
      <xdr:nvPicPr>
        <xdr:cNvPr id="429" name="image1.png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726841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477</xdr:row>
      <xdr:rowOff>256</xdr:rowOff>
    </xdr:from>
    <xdr:ext cx="2141855" cy="0"/>
    <xdr:sp macro="" textlink="">
      <xdr:nvSpPr>
        <xdr:cNvPr id="430" name="Shape 430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/>
      </xdr:nvSpPr>
      <xdr:spPr>
        <a:xfrm>
          <a:off x="1613874" y="9794011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477</xdr:row>
      <xdr:rowOff>2</xdr:rowOff>
    </xdr:from>
    <xdr:ext cx="828675" cy="0"/>
    <xdr:sp macro="" textlink="">
      <xdr:nvSpPr>
        <xdr:cNvPr id="431" name="Shape 431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/>
      </xdr:nvSpPr>
      <xdr:spPr>
        <a:xfrm>
          <a:off x="489305" y="9793986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17907</xdr:colOff>
      <xdr:row>477</xdr:row>
      <xdr:rowOff>2</xdr:rowOff>
    </xdr:from>
    <xdr:ext cx="828675" cy="0"/>
    <xdr:sp macro="" textlink="">
      <xdr:nvSpPr>
        <xdr:cNvPr id="432" name="Shape 432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/>
      </xdr:nvSpPr>
      <xdr:spPr>
        <a:xfrm>
          <a:off x="4437507" y="9793986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477</xdr:row>
      <xdr:rowOff>2</xdr:rowOff>
    </xdr:from>
    <xdr:ext cx="371475" cy="0"/>
    <xdr:sp macro="" textlink="">
      <xdr:nvSpPr>
        <xdr:cNvPr id="433" name="Shape 433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/>
      </xdr:nvSpPr>
      <xdr:spPr>
        <a:xfrm>
          <a:off x="8854440" y="9793986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478</xdr:row>
      <xdr:rowOff>187327</xdr:rowOff>
    </xdr:from>
    <xdr:ext cx="828675" cy="0"/>
    <xdr:sp macro="" textlink="">
      <xdr:nvSpPr>
        <xdr:cNvPr id="434" name="Shape 434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/>
      </xdr:nvSpPr>
      <xdr:spPr>
        <a:xfrm>
          <a:off x="4424807" y="9828720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479</xdr:row>
      <xdr:rowOff>15623</xdr:rowOff>
    </xdr:from>
    <xdr:ext cx="114300" cy="114300"/>
    <xdr:pic>
      <xdr:nvPicPr>
        <xdr:cNvPr id="435" name="image1.png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830600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482</xdr:row>
      <xdr:rowOff>6606</xdr:rowOff>
    </xdr:from>
    <xdr:ext cx="2141855" cy="0"/>
    <xdr:sp macro="" textlink="">
      <xdr:nvSpPr>
        <xdr:cNvPr id="436" name="Shape 436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1650745" y="9897516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482</xdr:row>
      <xdr:rowOff>6352</xdr:rowOff>
    </xdr:from>
    <xdr:ext cx="828675" cy="0"/>
    <xdr:sp macro="" textlink="">
      <xdr:nvSpPr>
        <xdr:cNvPr id="437" name="Shape 437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50037" y="9897491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482</xdr:row>
      <xdr:rowOff>6352</xdr:rowOff>
    </xdr:from>
    <xdr:ext cx="828675" cy="0"/>
    <xdr:sp macro="" textlink="">
      <xdr:nvSpPr>
        <xdr:cNvPr id="438" name="Shape 438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/>
      </xdr:nvSpPr>
      <xdr:spPr>
        <a:xfrm>
          <a:off x="4403804" y="9897491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482</xdr:row>
      <xdr:rowOff>6352</xdr:rowOff>
    </xdr:from>
    <xdr:ext cx="371475" cy="0"/>
    <xdr:sp macro="" textlink="">
      <xdr:nvSpPr>
        <xdr:cNvPr id="439" name="Shape 439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/>
      </xdr:nvSpPr>
      <xdr:spPr>
        <a:xfrm>
          <a:off x="8854440" y="9897491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483</xdr:row>
      <xdr:rowOff>3177</xdr:rowOff>
    </xdr:from>
    <xdr:ext cx="828675" cy="0"/>
    <xdr:sp macro="" textlink="">
      <xdr:nvSpPr>
        <xdr:cNvPr id="440" name="Shape 440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/>
      </xdr:nvSpPr>
      <xdr:spPr>
        <a:xfrm>
          <a:off x="4424807" y="9916985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483</xdr:row>
      <xdr:rowOff>21973</xdr:rowOff>
    </xdr:from>
    <xdr:ext cx="114300" cy="114300"/>
    <xdr:pic>
      <xdr:nvPicPr>
        <xdr:cNvPr id="441" name="image1.png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918865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486</xdr:row>
      <xdr:rowOff>256</xdr:rowOff>
    </xdr:from>
    <xdr:ext cx="2141855" cy="0"/>
    <xdr:sp macro="" textlink="">
      <xdr:nvSpPr>
        <xdr:cNvPr id="442" name="Shape 44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SpPr/>
      </xdr:nvSpPr>
      <xdr:spPr>
        <a:xfrm>
          <a:off x="1613874" y="9986035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486</xdr:row>
      <xdr:rowOff>2</xdr:rowOff>
    </xdr:from>
    <xdr:ext cx="828675" cy="0"/>
    <xdr:sp macro="" textlink="">
      <xdr:nvSpPr>
        <xdr:cNvPr id="443" name="Shape 44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489305" y="9986010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486</xdr:row>
      <xdr:rowOff>2</xdr:rowOff>
    </xdr:from>
    <xdr:ext cx="371475" cy="0"/>
    <xdr:sp macro="" textlink="">
      <xdr:nvSpPr>
        <xdr:cNvPr id="444" name="Shape 444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8854440" y="9986010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488</xdr:row>
      <xdr:rowOff>15623</xdr:rowOff>
    </xdr:from>
    <xdr:ext cx="114300" cy="114300"/>
    <xdr:pic>
      <xdr:nvPicPr>
        <xdr:cNvPr id="445" name="image1.png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022624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491</xdr:row>
      <xdr:rowOff>6606</xdr:rowOff>
    </xdr:from>
    <xdr:ext cx="2141855" cy="0"/>
    <xdr:sp macro="" textlink="">
      <xdr:nvSpPr>
        <xdr:cNvPr id="446" name="Shape 446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SpPr/>
      </xdr:nvSpPr>
      <xdr:spPr>
        <a:xfrm>
          <a:off x="1650745" y="10089540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491</xdr:row>
      <xdr:rowOff>6352</xdr:rowOff>
    </xdr:from>
    <xdr:ext cx="828675" cy="0"/>
    <xdr:sp macro="" textlink="">
      <xdr:nvSpPr>
        <xdr:cNvPr id="447" name="Shape 447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SpPr/>
      </xdr:nvSpPr>
      <xdr:spPr>
        <a:xfrm>
          <a:off x="550037" y="10089515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491</xdr:row>
      <xdr:rowOff>6352</xdr:rowOff>
    </xdr:from>
    <xdr:ext cx="371475" cy="0"/>
    <xdr:sp macro="" textlink="">
      <xdr:nvSpPr>
        <xdr:cNvPr id="448" name="Shape 448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SpPr/>
      </xdr:nvSpPr>
      <xdr:spPr>
        <a:xfrm>
          <a:off x="8854440" y="10089515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492</xdr:row>
      <xdr:rowOff>21973</xdr:rowOff>
    </xdr:from>
    <xdr:ext cx="114300" cy="114300"/>
    <xdr:pic>
      <xdr:nvPicPr>
        <xdr:cNvPr id="449" name="image1.png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1108893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495</xdr:row>
      <xdr:rowOff>260348</xdr:rowOff>
    </xdr:from>
    <xdr:ext cx="828675" cy="0"/>
    <xdr:sp macro="" textlink="">
      <xdr:nvSpPr>
        <xdr:cNvPr id="450" name="Shape 450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551688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495</xdr:row>
      <xdr:rowOff>260603</xdr:rowOff>
    </xdr:from>
    <xdr:ext cx="2141855" cy="0"/>
    <xdr:sp macro="" textlink="">
      <xdr:nvSpPr>
        <xdr:cNvPr id="451" name="Shape 451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1645920" y="10169804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495</xdr:row>
      <xdr:rowOff>260348</xdr:rowOff>
    </xdr:from>
    <xdr:ext cx="828675" cy="0"/>
    <xdr:sp macro="" textlink="">
      <xdr:nvSpPr>
        <xdr:cNvPr id="452" name="Shape 452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50037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495</xdr:row>
      <xdr:rowOff>260348</xdr:rowOff>
    </xdr:from>
    <xdr:ext cx="828675" cy="0"/>
    <xdr:sp macro="" textlink="">
      <xdr:nvSpPr>
        <xdr:cNvPr id="453" name="Shape 453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/>
      </xdr:nvSpPr>
      <xdr:spPr>
        <a:xfrm>
          <a:off x="774192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495</xdr:row>
      <xdr:rowOff>260348</xdr:rowOff>
    </xdr:from>
    <xdr:ext cx="828675" cy="0"/>
    <xdr:sp macro="" textlink="">
      <xdr:nvSpPr>
        <xdr:cNvPr id="454" name="Shape 454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/>
      </xdr:nvSpPr>
      <xdr:spPr>
        <a:xfrm>
          <a:off x="4419663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495</xdr:row>
      <xdr:rowOff>260348</xdr:rowOff>
    </xdr:from>
    <xdr:ext cx="828675" cy="0"/>
    <xdr:sp macro="" textlink="">
      <xdr:nvSpPr>
        <xdr:cNvPr id="455" name="Shape 455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662940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495</xdr:row>
      <xdr:rowOff>260348</xdr:rowOff>
    </xdr:from>
    <xdr:ext cx="371475" cy="0"/>
    <xdr:sp macro="" textlink="">
      <xdr:nvSpPr>
        <xdr:cNvPr id="456" name="Shape 456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8854440" y="10169778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496</xdr:row>
      <xdr:rowOff>21969</xdr:rowOff>
    </xdr:from>
    <xdr:ext cx="114300" cy="114300"/>
    <xdr:pic>
      <xdr:nvPicPr>
        <xdr:cNvPr id="457" name="image1.png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190898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499</xdr:row>
      <xdr:rowOff>253</xdr:rowOff>
    </xdr:from>
    <xdr:ext cx="2141855" cy="0"/>
    <xdr:sp macro="" textlink="">
      <xdr:nvSpPr>
        <xdr:cNvPr id="458" name="Shape 45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1668834" y="10258069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499</xdr:row>
      <xdr:rowOff>-1</xdr:rowOff>
    </xdr:from>
    <xdr:ext cx="828675" cy="0"/>
    <xdr:sp macro="" textlink="">
      <xdr:nvSpPr>
        <xdr:cNvPr id="459" name="Shape 45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489305" y="10258043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499</xdr:row>
      <xdr:rowOff>-1</xdr:rowOff>
    </xdr:from>
    <xdr:ext cx="371475" cy="0"/>
    <xdr:sp macro="" textlink="">
      <xdr:nvSpPr>
        <xdr:cNvPr id="460" name="Shape 460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8854440" y="10258043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500</xdr:row>
      <xdr:rowOff>15619</xdr:rowOff>
    </xdr:from>
    <xdr:ext cx="114300" cy="114300"/>
    <xdr:pic>
      <xdr:nvPicPr>
        <xdr:cNvPr id="461" name="image1.png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279417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503</xdr:row>
      <xdr:rowOff>6603</xdr:rowOff>
    </xdr:from>
    <xdr:ext cx="2141855" cy="0"/>
    <xdr:sp macro="" textlink="">
      <xdr:nvSpPr>
        <xdr:cNvPr id="462" name="Shape 462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/>
      </xdr:nvSpPr>
      <xdr:spPr>
        <a:xfrm>
          <a:off x="1650745" y="10346334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503</xdr:row>
      <xdr:rowOff>6354</xdr:rowOff>
    </xdr:from>
    <xdr:ext cx="828675" cy="0"/>
    <xdr:sp macro="" textlink="">
      <xdr:nvSpPr>
        <xdr:cNvPr id="463" name="Shape 463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/>
      </xdr:nvSpPr>
      <xdr:spPr>
        <a:xfrm>
          <a:off x="550037" y="10346309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503</xdr:row>
      <xdr:rowOff>6354</xdr:rowOff>
    </xdr:from>
    <xdr:ext cx="371475" cy="0"/>
    <xdr:sp macro="" textlink="">
      <xdr:nvSpPr>
        <xdr:cNvPr id="464" name="Shape 464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SpPr/>
      </xdr:nvSpPr>
      <xdr:spPr>
        <a:xfrm>
          <a:off x="8854440" y="10346309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504</xdr:row>
      <xdr:rowOff>21969</xdr:rowOff>
    </xdr:from>
    <xdr:ext cx="114300" cy="114300"/>
    <xdr:pic>
      <xdr:nvPicPr>
        <xdr:cNvPr id="465" name="image1.png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367682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507</xdr:row>
      <xdr:rowOff>253</xdr:rowOff>
    </xdr:from>
    <xdr:ext cx="2141855" cy="0"/>
    <xdr:sp macro="" textlink="">
      <xdr:nvSpPr>
        <xdr:cNvPr id="466" name="Shape 466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SpPr/>
      </xdr:nvSpPr>
      <xdr:spPr>
        <a:xfrm>
          <a:off x="1650745" y="1043485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507</xdr:row>
      <xdr:rowOff>4</xdr:rowOff>
    </xdr:from>
    <xdr:ext cx="828675" cy="0"/>
    <xdr:sp macro="" textlink="">
      <xdr:nvSpPr>
        <xdr:cNvPr id="467" name="Shape 467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/>
      </xdr:nvSpPr>
      <xdr:spPr>
        <a:xfrm>
          <a:off x="550037" y="10434828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507</xdr:row>
      <xdr:rowOff>4</xdr:rowOff>
    </xdr:from>
    <xdr:ext cx="371475" cy="0"/>
    <xdr:sp macro="" textlink="">
      <xdr:nvSpPr>
        <xdr:cNvPr id="468" name="Shape 468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/>
      </xdr:nvSpPr>
      <xdr:spPr>
        <a:xfrm>
          <a:off x="8854440" y="10434828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508</xdr:row>
      <xdr:rowOff>15619</xdr:rowOff>
    </xdr:from>
    <xdr:ext cx="114300" cy="114300"/>
    <xdr:pic>
      <xdr:nvPicPr>
        <xdr:cNvPr id="469" name="image1.png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456201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511</xdr:row>
      <xdr:rowOff>6603</xdr:rowOff>
    </xdr:from>
    <xdr:ext cx="2141855" cy="0"/>
    <xdr:sp macro="" textlink="">
      <xdr:nvSpPr>
        <xdr:cNvPr id="470" name="Shape 470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/>
      </xdr:nvSpPr>
      <xdr:spPr>
        <a:xfrm>
          <a:off x="1650745" y="1052311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511</xdr:row>
      <xdr:rowOff>6354</xdr:rowOff>
    </xdr:from>
    <xdr:ext cx="828675" cy="0"/>
    <xdr:sp macro="" textlink="">
      <xdr:nvSpPr>
        <xdr:cNvPr id="471" name="Shape 471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550037" y="10523093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511</xdr:row>
      <xdr:rowOff>6354</xdr:rowOff>
    </xdr:from>
    <xdr:ext cx="371475" cy="0"/>
    <xdr:sp macro="" textlink="">
      <xdr:nvSpPr>
        <xdr:cNvPr id="472" name="Shape 472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8854440" y="10523093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512</xdr:row>
      <xdr:rowOff>21969</xdr:rowOff>
    </xdr:from>
    <xdr:ext cx="114300" cy="114300"/>
    <xdr:pic>
      <xdr:nvPicPr>
        <xdr:cNvPr id="473" name="image1.png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54446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515</xdr:row>
      <xdr:rowOff>253</xdr:rowOff>
    </xdr:from>
    <xdr:ext cx="2141855" cy="0"/>
    <xdr:sp macro="" textlink="">
      <xdr:nvSpPr>
        <xdr:cNvPr id="474" name="Shape 474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SpPr/>
      </xdr:nvSpPr>
      <xdr:spPr>
        <a:xfrm>
          <a:off x="1650745" y="1061163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515</xdr:row>
      <xdr:rowOff>4</xdr:rowOff>
    </xdr:from>
    <xdr:ext cx="828675" cy="0"/>
    <xdr:sp macro="" textlink="">
      <xdr:nvSpPr>
        <xdr:cNvPr id="475" name="Shape 475">
          <a:extLst>
            <a:ext uri="{FF2B5EF4-FFF2-40B4-BE49-F238E27FC236}">
              <a16:creationId xmlns:a16="http://schemas.microsoft.com/office/drawing/2014/main" id="{00000000-0008-0000-0200-0000DB010000}"/>
            </a:ext>
          </a:extLst>
        </xdr:cNvPr>
        <xdr:cNvSpPr/>
      </xdr:nvSpPr>
      <xdr:spPr>
        <a:xfrm>
          <a:off x="550037" y="10611612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515</xdr:row>
      <xdr:rowOff>4</xdr:rowOff>
    </xdr:from>
    <xdr:ext cx="371475" cy="0"/>
    <xdr:sp macro="" textlink="">
      <xdr:nvSpPr>
        <xdr:cNvPr id="476" name="Shape 476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8854440" y="10611612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516</xdr:row>
      <xdr:rowOff>15619</xdr:rowOff>
    </xdr:from>
    <xdr:ext cx="114300" cy="114300"/>
    <xdr:pic>
      <xdr:nvPicPr>
        <xdr:cNvPr id="477" name="image1.png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63298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519</xdr:row>
      <xdr:rowOff>6603</xdr:rowOff>
    </xdr:from>
    <xdr:ext cx="2141855" cy="0"/>
    <xdr:sp macro="" textlink="">
      <xdr:nvSpPr>
        <xdr:cNvPr id="478" name="Shape 478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/>
      </xdr:nvSpPr>
      <xdr:spPr>
        <a:xfrm>
          <a:off x="1650745" y="1069990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519</xdr:row>
      <xdr:rowOff>6354</xdr:rowOff>
    </xdr:from>
    <xdr:ext cx="828675" cy="0"/>
    <xdr:sp macro="" textlink="">
      <xdr:nvSpPr>
        <xdr:cNvPr id="479" name="Shape 479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/>
      </xdr:nvSpPr>
      <xdr:spPr>
        <a:xfrm>
          <a:off x="550037" y="10699877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519</xdr:row>
      <xdr:rowOff>6354</xdr:rowOff>
    </xdr:from>
    <xdr:ext cx="371475" cy="0"/>
    <xdr:sp macro="" textlink="">
      <xdr:nvSpPr>
        <xdr:cNvPr id="480" name="Shape 480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854440" y="10699877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520</xdr:row>
      <xdr:rowOff>21969</xdr:rowOff>
    </xdr:from>
    <xdr:ext cx="114300" cy="114300"/>
    <xdr:pic>
      <xdr:nvPicPr>
        <xdr:cNvPr id="481" name="image1.png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72125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523</xdr:row>
      <xdr:rowOff>253</xdr:rowOff>
    </xdr:from>
    <xdr:ext cx="2141855" cy="0"/>
    <xdr:sp macro="" textlink="">
      <xdr:nvSpPr>
        <xdr:cNvPr id="482" name="Shape 482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1668834" y="1078842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523</xdr:row>
      <xdr:rowOff>4</xdr:rowOff>
    </xdr:from>
    <xdr:ext cx="828675" cy="0"/>
    <xdr:sp macro="" textlink="">
      <xdr:nvSpPr>
        <xdr:cNvPr id="483" name="Shape 483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SpPr/>
      </xdr:nvSpPr>
      <xdr:spPr>
        <a:xfrm>
          <a:off x="489305" y="10788396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523</xdr:row>
      <xdr:rowOff>4</xdr:rowOff>
    </xdr:from>
    <xdr:ext cx="371475" cy="0"/>
    <xdr:sp macro="" textlink="">
      <xdr:nvSpPr>
        <xdr:cNvPr id="484" name="Shape 484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854440" y="10788396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527</xdr:row>
      <xdr:rowOff>6603</xdr:rowOff>
    </xdr:from>
    <xdr:ext cx="2141855" cy="0"/>
    <xdr:sp macro="" textlink="">
      <xdr:nvSpPr>
        <xdr:cNvPr id="485" name="Shape 485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/>
      </xdr:nvSpPr>
      <xdr:spPr>
        <a:xfrm>
          <a:off x="1650745" y="1087668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526</xdr:row>
      <xdr:rowOff>295914</xdr:rowOff>
    </xdr:from>
    <xdr:ext cx="828675" cy="0"/>
    <xdr:sp macro="" textlink="">
      <xdr:nvSpPr>
        <xdr:cNvPr id="486" name="Shape 486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/>
      </xdr:nvSpPr>
      <xdr:spPr>
        <a:xfrm>
          <a:off x="550037" y="10874375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527</xdr:row>
      <xdr:rowOff>6354</xdr:rowOff>
    </xdr:from>
    <xdr:ext cx="371475" cy="0"/>
    <xdr:sp macro="" textlink="">
      <xdr:nvSpPr>
        <xdr:cNvPr id="487" name="Shape 487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/>
      </xdr:nvSpPr>
      <xdr:spPr>
        <a:xfrm>
          <a:off x="8854440" y="10876661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50736</xdr:colOff>
      <xdr:row>529</xdr:row>
      <xdr:rowOff>142743</xdr:rowOff>
    </xdr:from>
    <xdr:ext cx="3531235" cy="13335"/>
    <xdr:sp macro="" textlink="">
      <xdr:nvSpPr>
        <xdr:cNvPr id="488" name="Shape 488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/>
      </xdr:nvSpPr>
      <xdr:spPr>
        <a:xfrm>
          <a:off x="4394136" y="109375443"/>
          <a:ext cx="3531235" cy="13335"/>
        </a:xfrm>
        <a:custGeom>
          <a:avLst/>
          <a:gdLst/>
          <a:ahLst/>
          <a:cxnLst/>
          <a:rect l="0" t="0" r="0" b="0"/>
          <a:pathLst>
            <a:path w="3531235" h="13335">
              <a:moveTo>
                <a:pt x="2677160" y="12699"/>
              </a:moveTo>
              <a:lnTo>
                <a:pt x="3531235" y="12699"/>
              </a:lnTo>
            </a:path>
            <a:path w="3531235" h="13335">
              <a:moveTo>
                <a:pt x="1784223" y="12953"/>
              </a:moveTo>
              <a:lnTo>
                <a:pt x="2638298" y="12953"/>
              </a:lnTo>
            </a:path>
            <a:path w="3531235" h="13335">
              <a:moveTo>
                <a:pt x="12700" y="0"/>
              </a:moveTo>
              <a:lnTo>
                <a:pt x="841375" y="0"/>
              </a:lnTo>
            </a:path>
            <a:path w="3531235" h="13335">
              <a:moveTo>
                <a:pt x="0" y="12699"/>
              </a:moveTo>
              <a:lnTo>
                <a:pt x="854075" y="12699"/>
              </a:lnTo>
            </a:path>
            <a:path w="3531235" h="13335">
              <a:moveTo>
                <a:pt x="893571" y="12953"/>
              </a:moveTo>
              <a:lnTo>
                <a:pt x="1747646" y="12953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106552</xdr:colOff>
      <xdr:row>8</xdr:row>
      <xdr:rowOff>254</xdr:rowOff>
    </xdr:from>
    <xdr:ext cx="2141855" cy="0"/>
    <xdr:sp macro="" textlink="">
      <xdr:nvSpPr>
        <xdr:cNvPr id="489" name="Shape 2">
          <a:extLst>
            <a:ext uri="{FF2B5EF4-FFF2-40B4-BE49-F238E27FC236}">
              <a16:creationId xmlns:a16="http://schemas.microsoft.com/office/drawing/2014/main" id="{9C5F0087-7CEE-4741-9E42-47068B753D1D}"/>
            </a:ext>
          </a:extLst>
        </xdr:cNvPr>
        <xdr:cNvSpPr/>
      </xdr:nvSpPr>
      <xdr:spPr>
        <a:xfrm>
          <a:off x="1371472" y="188239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230124</xdr:colOff>
      <xdr:row>8</xdr:row>
      <xdr:rowOff>0</xdr:rowOff>
    </xdr:from>
    <xdr:ext cx="828675" cy="0"/>
    <xdr:sp macro="" textlink="">
      <xdr:nvSpPr>
        <xdr:cNvPr id="490" name="Shape 3">
          <a:extLst>
            <a:ext uri="{FF2B5EF4-FFF2-40B4-BE49-F238E27FC236}">
              <a16:creationId xmlns:a16="http://schemas.microsoft.com/office/drawing/2014/main" id="{CD4B981E-18A5-4052-AD7A-D81C299DCCC1}"/>
            </a:ext>
          </a:extLst>
        </xdr:cNvPr>
        <xdr:cNvSpPr/>
      </xdr:nvSpPr>
      <xdr:spPr>
        <a:xfrm>
          <a:off x="230124" y="18821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0</xdr:colOff>
      <xdr:row>8</xdr:row>
      <xdr:rowOff>0</xdr:rowOff>
    </xdr:from>
    <xdr:ext cx="371475" cy="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47A698DD-168A-454E-8042-9409785BA533}"/>
            </a:ext>
          </a:extLst>
        </xdr:cNvPr>
        <xdr:cNvSpPr/>
      </xdr:nvSpPr>
      <xdr:spPr>
        <a:xfrm>
          <a:off x="8656320" y="188214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125603</xdr:colOff>
      <xdr:row>9</xdr:row>
      <xdr:rowOff>15620</xdr:rowOff>
    </xdr:from>
    <xdr:ext cx="114300" cy="114300"/>
    <xdr:pic>
      <xdr:nvPicPr>
        <xdr:cNvPr id="492" name="image1.png">
          <a:extLst>
            <a:ext uri="{FF2B5EF4-FFF2-40B4-BE49-F238E27FC236}">
              <a16:creationId xmlns:a16="http://schemas.microsoft.com/office/drawing/2014/main" id="{2CD85811-57AC-4E96-8EE5-423461F860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1923" y="2095880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106552</xdr:colOff>
      <xdr:row>12</xdr:row>
      <xdr:rowOff>6604</xdr:rowOff>
    </xdr:from>
    <xdr:ext cx="2141855" cy="0"/>
    <xdr:sp macro="" textlink="">
      <xdr:nvSpPr>
        <xdr:cNvPr id="493" name="Shape 6">
          <a:extLst>
            <a:ext uri="{FF2B5EF4-FFF2-40B4-BE49-F238E27FC236}">
              <a16:creationId xmlns:a16="http://schemas.microsoft.com/office/drawing/2014/main" id="{C7CE183D-BC31-494F-A8C1-47917CBA280E}"/>
            </a:ext>
          </a:extLst>
        </xdr:cNvPr>
        <xdr:cNvSpPr/>
      </xdr:nvSpPr>
      <xdr:spPr>
        <a:xfrm>
          <a:off x="1371472" y="276504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230124</xdr:colOff>
      <xdr:row>12</xdr:row>
      <xdr:rowOff>6350</xdr:rowOff>
    </xdr:from>
    <xdr:ext cx="828675" cy="0"/>
    <xdr:sp macro="" textlink="">
      <xdr:nvSpPr>
        <xdr:cNvPr id="494" name="Shape 7">
          <a:extLst>
            <a:ext uri="{FF2B5EF4-FFF2-40B4-BE49-F238E27FC236}">
              <a16:creationId xmlns:a16="http://schemas.microsoft.com/office/drawing/2014/main" id="{ECC39838-6C6D-4FA8-BA7F-72ECB5722877}"/>
            </a:ext>
          </a:extLst>
        </xdr:cNvPr>
        <xdr:cNvSpPr/>
      </xdr:nvSpPr>
      <xdr:spPr>
        <a:xfrm>
          <a:off x="230124" y="27647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0</xdr:colOff>
      <xdr:row>12</xdr:row>
      <xdr:rowOff>6350</xdr:rowOff>
    </xdr:from>
    <xdr:ext cx="371475" cy="0"/>
    <xdr:sp macro="" textlink="">
      <xdr:nvSpPr>
        <xdr:cNvPr id="495" name="Shape 8">
          <a:extLst>
            <a:ext uri="{FF2B5EF4-FFF2-40B4-BE49-F238E27FC236}">
              <a16:creationId xmlns:a16="http://schemas.microsoft.com/office/drawing/2014/main" id="{C52934FC-77A4-4325-83D4-0B5004C95F5F}"/>
            </a:ext>
          </a:extLst>
        </xdr:cNvPr>
        <xdr:cNvSpPr/>
      </xdr:nvSpPr>
      <xdr:spPr>
        <a:xfrm>
          <a:off x="8656320" y="276479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125603</xdr:colOff>
      <xdr:row>13</xdr:row>
      <xdr:rowOff>21970</xdr:rowOff>
    </xdr:from>
    <xdr:ext cx="114300" cy="114300"/>
    <xdr:pic>
      <xdr:nvPicPr>
        <xdr:cNvPr id="496" name="image1.png">
          <a:extLst>
            <a:ext uri="{FF2B5EF4-FFF2-40B4-BE49-F238E27FC236}">
              <a16:creationId xmlns:a16="http://schemas.microsoft.com/office/drawing/2014/main" id="{D3B0D0BE-9236-4B3A-8188-279F5FDE2D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1923" y="2978530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93852</xdr:colOff>
      <xdr:row>16</xdr:row>
      <xdr:rowOff>253</xdr:rowOff>
    </xdr:from>
    <xdr:ext cx="2141855" cy="0"/>
    <xdr:sp macro="" textlink="">
      <xdr:nvSpPr>
        <xdr:cNvPr id="497" name="Shape 10">
          <a:extLst>
            <a:ext uri="{FF2B5EF4-FFF2-40B4-BE49-F238E27FC236}">
              <a16:creationId xmlns:a16="http://schemas.microsoft.com/office/drawing/2014/main" id="{167E45BD-6D69-449B-9F33-217D473AAA51}"/>
            </a:ext>
          </a:extLst>
        </xdr:cNvPr>
        <xdr:cNvSpPr/>
      </xdr:nvSpPr>
      <xdr:spPr>
        <a:xfrm>
          <a:off x="1358772" y="36502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230124</xdr:colOff>
      <xdr:row>16</xdr:row>
      <xdr:rowOff>0</xdr:rowOff>
    </xdr:from>
    <xdr:ext cx="828675" cy="0"/>
    <xdr:sp macro="" textlink="">
      <xdr:nvSpPr>
        <xdr:cNvPr id="498" name="Shape 11">
          <a:extLst>
            <a:ext uri="{FF2B5EF4-FFF2-40B4-BE49-F238E27FC236}">
              <a16:creationId xmlns:a16="http://schemas.microsoft.com/office/drawing/2014/main" id="{F1B519D5-EF86-4E21-AAE4-DD7D482CD265}"/>
            </a:ext>
          </a:extLst>
        </xdr:cNvPr>
        <xdr:cNvSpPr/>
      </xdr:nvSpPr>
      <xdr:spPr>
        <a:xfrm>
          <a:off x="230124" y="36499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0</xdr:colOff>
      <xdr:row>16</xdr:row>
      <xdr:rowOff>0</xdr:rowOff>
    </xdr:from>
    <xdr:ext cx="371475" cy="0"/>
    <xdr:sp macro="" textlink="">
      <xdr:nvSpPr>
        <xdr:cNvPr id="499" name="Shape 12">
          <a:extLst>
            <a:ext uri="{FF2B5EF4-FFF2-40B4-BE49-F238E27FC236}">
              <a16:creationId xmlns:a16="http://schemas.microsoft.com/office/drawing/2014/main" id="{37125531-8C6E-479E-A429-92746F91220D}"/>
            </a:ext>
          </a:extLst>
        </xdr:cNvPr>
        <xdr:cNvSpPr/>
      </xdr:nvSpPr>
      <xdr:spPr>
        <a:xfrm>
          <a:off x="8656320" y="36499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125603</xdr:colOff>
      <xdr:row>17</xdr:row>
      <xdr:rowOff>15621</xdr:rowOff>
    </xdr:from>
    <xdr:ext cx="114300" cy="114300"/>
    <xdr:pic>
      <xdr:nvPicPr>
        <xdr:cNvPr id="500" name="image1.png">
          <a:extLst>
            <a:ext uri="{FF2B5EF4-FFF2-40B4-BE49-F238E27FC236}">
              <a16:creationId xmlns:a16="http://schemas.microsoft.com/office/drawing/2014/main" id="{DA31A543-EAC2-416B-B861-7A00C72780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1923" y="3863721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93852</xdr:colOff>
      <xdr:row>20</xdr:row>
      <xdr:rowOff>6603</xdr:rowOff>
    </xdr:from>
    <xdr:ext cx="2141855" cy="0"/>
    <xdr:sp macro="" textlink="">
      <xdr:nvSpPr>
        <xdr:cNvPr id="501" name="Shape 14">
          <a:extLst>
            <a:ext uri="{FF2B5EF4-FFF2-40B4-BE49-F238E27FC236}">
              <a16:creationId xmlns:a16="http://schemas.microsoft.com/office/drawing/2014/main" id="{5AAFE3C9-AF72-40E8-9991-83B72355E7CD}"/>
            </a:ext>
          </a:extLst>
        </xdr:cNvPr>
        <xdr:cNvSpPr/>
      </xdr:nvSpPr>
      <xdr:spPr>
        <a:xfrm>
          <a:off x="1358772" y="45328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230124</xdr:colOff>
      <xdr:row>20</xdr:row>
      <xdr:rowOff>6350</xdr:rowOff>
    </xdr:from>
    <xdr:ext cx="828675" cy="0"/>
    <xdr:sp macro="" textlink="">
      <xdr:nvSpPr>
        <xdr:cNvPr id="502" name="Shape 15">
          <a:extLst>
            <a:ext uri="{FF2B5EF4-FFF2-40B4-BE49-F238E27FC236}">
              <a16:creationId xmlns:a16="http://schemas.microsoft.com/office/drawing/2014/main" id="{AE004825-15EE-4723-BE90-4618A4555B6E}"/>
            </a:ext>
          </a:extLst>
        </xdr:cNvPr>
        <xdr:cNvSpPr/>
      </xdr:nvSpPr>
      <xdr:spPr>
        <a:xfrm>
          <a:off x="230124" y="45326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0</xdr:colOff>
      <xdr:row>20</xdr:row>
      <xdr:rowOff>6350</xdr:rowOff>
    </xdr:from>
    <xdr:ext cx="371475" cy="0"/>
    <xdr:sp macro="" textlink="">
      <xdr:nvSpPr>
        <xdr:cNvPr id="503" name="Shape 16">
          <a:extLst>
            <a:ext uri="{FF2B5EF4-FFF2-40B4-BE49-F238E27FC236}">
              <a16:creationId xmlns:a16="http://schemas.microsoft.com/office/drawing/2014/main" id="{8862AED3-800B-4BA6-96FC-05409CB50B29}"/>
            </a:ext>
          </a:extLst>
        </xdr:cNvPr>
        <xdr:cNvSpPr/>
      </xdr:nvSpPr>
      <xdr:spPr>
        <a:xfrm>
          <a:off x="8656320" y="45326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14</xdr:col>
      <xdr:colOff>125603</xdr:colOff>
      <xdr:row>22</xdr:row>
      <xdr:rowOff>21971</xdr:rowOff>
    </xdr:from>
    <xdr:ext cx="114300" cy="114300"/>
    <xdr:pic>
      <xdr:nvPicPr>
        <xdr:cNvPr id="504" name="image1.png">
          <a:extLst>
            <a:ext uri="{FF2B5EF4-FFF2-40B4-BE49-F238E27FC236}">
              <a16:creationId xmlns:a16="http://schemas.microsoft.com/office/drawing/2014/main" id="{4D718E12-77AF-47AF-AF0C-67FA5942E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1923" y="4898771"/>
          <a:ext cx="114300" cy="114300"/>
        </a:xfrm>
        <a:prstGeom prst="rect">
          <a:avLst/>
        </a:prstGeom>
      </xdr:spPr>
    </xdr:pic>
    <xdr:clientData/>
  </xdr:oneCellAnchor>
  <xdr:oneCellAnchor>
    <xdr:from>
      <xdr:col>4</xdr:col>
      <xdr:colOff>119634</xdr:colOff>
      <xdr:row>24</xdr:row>
      <xdr:rowOff>3047</xdr:rowOff>
    </xdr:from>
    <xdr:ext cx="3531235" cy="13335"/>
    <xdr:sp macro="" textlink="">
      <xdr:nvSpPr>
        <xdr:cNvPr id="505" name="Shape 18">
          <a:extLst>
            <a:ext uri="{FF2B5EF4-FFF2-40B4-BE49-F238E27FC236}">
              <a16:creationId xmlns:a16="http://schemas.microsoft.com/office/drawing/2014/main" id="{C8558F91-A177-4E48-869B-6A27A34F49DF}"/>
            </a:ext>
          </a:extLst>
        </xdr:cNvPr>
        <xdr:cNvSpPr/>
      </xdr:nvSpPr>
      <xdr:spPr>
        <a:xfrm>
          <a:off x="4173474" y="5298947"/>
          <a:ext cx="3531235" cy="13335"/>
        </a:xfrm>
        <a:custGeom>
          <a:avLst/>
          <a:gdLst/>
          <a:ahLst/>
          <a:cxnLst/>
          <a:rect l="0" t="0" r="0" b="0"/>
          <a:pathLst>
            <a:path w="3531235" h="13335">
              <a:moveTo>
                <a:pt x="2677160" y="12700"/>
              </a:moveTo>
              <a:lnTo>
                <a:pt x="3531235" y="12700"/>
              </a:lnTo>
            </a:path>
            <a:path w="3531235" h="13335">
              <a:moveTo>
                <a:pt x="1784223" y="12953"/>
              </a:moveTo>
              <a:lnTo>
                <a:pt x="2638298" y="12953"/>
              </a:lnTo>
            </a:path>
            <a:path w="3531235" h="13335">
              <a:moveTo>
                <a:pt x="12700" y="0"/>
              </a:moveTo>
              <a:lnTo>
                <a:pt x="841375" y="0"/>
              </a:lnTo>
            </a:path>
            <a:path w="3531235" h="13335">
              <a:moveTo>
                <a:pt x="0" y="12700"/>
              </a:moveTo>
              <a:lnTo>
                <a:pt x="854075" y="12700"/>
              </a:lnTo>
            </a:path>
            <a:path w="3531235" h="13335">
              <a:moveTo>
                <a:pt x="893571" y="12953"/>
              </a:moveTo>
              <a:lnTo>
                <a:pt x="1747646" y="12953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1109852</xdr:colOff>
      <xdr:row>8</xdr:row>
      <xdr:rowOff>254</xdr:rowOff>
    </xdr:from>
    <xdr:ext cx="2141855" cy="0"/>
    <xdr:sp macro="" textlink="">
      <xdr:nvSpPr>
        <xdr:cNvPr id="506" name="Shape 2">
          <a:extLst>
            <a:ext uri="{FF2B5EF4-FFF2-40B4-BE49-F238E27FC236}">
              <a16:creationId xmlns:a16="http://schemas.microsoft.com/office/drawing/2014/main" id="{A2CD80CD-6178-4D77-AAE5-B7E978543C33}"/>
            </a:ext>
          </a:extLst>
        </xdr:cNvPr>
        <xdr:cNvSpPr/>
      </xdr:nvSpPr>
      <xdr:spPr>
        <a:xfrm>
          <a:off x="1111757" y="186715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8</xdr:row>
      <xdr:rowOff>0</xdr:rowOff>
    </xdr:from>
    <xdr:ext cx="828675" cy="0"/>
    <xdr:sp macro="" textlink="">
      <xdr:nvSpPr>
        <xdr:cNvPr id="507" name="Shape 3">
          <a:extLst>
            <a:ext uri="{FF2B5EF4-FFF2-40B4-BE49-F238E27FC236}">
              <a16:creationId xmlns:a16="http://schemas.microsoft.com/office/drawing/2014/main" id="{082B1A18-B7E4-4BAB-8B50-7081ABD46598}"/>
            </a:ext>
          </a:extLst>
        </xdr:cNvPr>
        <xdr:cNvSpPr/>
      </xdr:nvSpPr>
      <xdr:spPr>
        <a:xfrm>
          <a:off x="215519" y="18669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8</xdr:row>
      <xdr:rowOff>0</xdr:rowOff>
    </xdr:from>
    <xdr:ext cx="371475" cy="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471DB7E5-95A5-445F-8229-4AF1F651559B}"/>
            </a:ext>
          </a:extLst>
        </xdr:cNvPr>
        <xdr:cNvSpPr/>
      </xdr:nvSpPr>
      <xdr:spPr>
        <a:xfrm>
          <a:off x="8677275" y="18669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125603</xdr:colOff>
      <xdr:row>9</xdr:row>
      <xdr:rowOff>15620</xdr:rowOff>
    </xdr:from>
    <xdr:ext cx="114300" cy="114300"/>
    <xdr:pic>
      <xdr:nvPicPr>
        <xdr:cNvPr id="509" name="image1.png">
          <a:extLst>
            <a:ext uri="{FF2B5EF4-FFF2-40B4-BE49-F238E27FC236}">
              <a16:creationId xmlns:a16="http://schemas.microsoft.com/office/drawing/2014/main" id="{304039EE-A86A-49F2-A5C7-8DCAAC439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783" y="2086355"/>
          <a:ext cx="114300" cy="114300"/>
        </a:xfrm>
        <a:prstGeom prst="rect">
          <a:avLst/>
        </a:prstGeom>
      </xdr:spPr>
    </xdr:pic>
    <xdr:clientData/>
  </xdr:oneCellAnchor>
  <xdr:oneCellAnchor>
    <xdr:from>
      <xdr:col>0</xdr:col>
      <xdr:colOff>1109852</xdr:colOff>
      <xdr:row>12</xdr:row>
      <xdr:rowOff>6604</xdr:rowOff>
    </xdr:from>
    <xdr:ext cx="2141855" cy="0"/>
    <xdr:sp macro="" textlink="">
      <xdr:nvSpPr>
        <xdr:cNvPr id="510" name="Shape 6">
          <a:extLst>
            <a:ext uri="{FF2B5EF4-FFF2-40B4-BE49-F238E27FC236}">
              <a16:creationId xmlns:a16="http://schemas.microsoft.com/office/drawing/2014/main" id="{8C85A7C2-0F6F-473C-867D-403E7C28CD72}"/>
            </a:ext>
          </a:extLst>
        </xdr:cNvPr>
        <xdr:cNvSpPr/>
      </xdr:nvSpPr>
      <xdr:spPr>
        <a:xfrm>
          <a:off x="1111757" y="275170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12</xdr:row>
      <xdr:rowOff>6350</xdr:rowOff>
    </xdr:from>
    <xdr:ext cx="828675" cy="0"/>
    <xdr:sp macro="" textlink="">
      <xdr:nvSpPr>
        <xdr:cNvPr id="511" name="Shape 7">
          <a:extLst>
            <a:ext uri="{FF2B5EF4-FFF2-40B4-BE49-F238E27FC236}">
              <a16:creationId xmlns:a16="http://schemas.microsoft.com/office/drawing/2014/main" id="{86F05354-1219-47E9-A6F8-01D328ED1EF5}"/>
            </a:ext>
          </a:extLst>
        </xdr:cNvPr>
        <xdr:cNvSpPr/>
      </xdr:nvSpPr>
      <xdr:spPr>
        <a:xfrm>
          <a:off x="215519" y="275145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12</xdr:row>
      <xdr:rowOff>6350</xdr:rowOff>
    </xdr:from>
    <xdr:ext cx="371475" cy="0"/>
    <xdr:sp macro="" textlink="">
      <xdr:nvSpPr>
        <xdr:cNvPr id="512" name="Shape 8">
          <a:extLst>
            <a:ext uri="{FF2B5EF4-FFF2-40B4-BE49-F238E27FC236}">
              <a16:creationId xmlns:a16="http://schemas.microsoft.com/office/drawing/2014/main" id="{6B88DBDE-8346-428E-B288-4A86E296CF6B}"/>
            </a:ext>
          </a:extLst>
        </xdr:cNvPr>
        <xdr:cNvSpPr/>
      </xdr:nvSpPr>
      <xdr:spPr>
        <a:xfrm>
          <a:off x="8677275" y="275145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125603</xdr:colOff>
      <xdr:row>13</xdr:row>
      <xdr:rowOff>21970</xdr:rowOff>
    </xdr:from>
    <xdr:ext cx="114300" cy="114300"/>
    <xdr:pic>
      <xdr:nvPicPr>
        <xdr:cNvPr id="513" name="image1.png">
          <a:extLst>
            <a:ext uri="{FF2B5EF4-FFF2-40B4-BE49-F238E27FC236}">
              <a16:creationId xmlns:a16="http://schemas.microsoft.com/office/drawing/2014/main" id="{932B26CC-1CBD-4B28-A0C5-1380CD993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783" y="2961385"/>
          <a:ext cx="114300" cy="114300"/>
        </a:xfrm>
        <a:prstGeom prst="rect">
          <a:avLst/>
        </a:prstGeom>
      </xdr:spPr>
    </xdr:pic>
    <xdr:clientData/>
  </xdr:oneCellAnchor>
  <xdr:oneCellAnchor>
    <xdr:from>
      <xdr:col>0</xdr:col>
      <xdr:colOff>1109852</xdr:colOff>
      <xdr:row>16</xdr:row>
      <xdr:rowOff>253</xdr:rowOff>
    </xdr:from>
    <xdr:ext cx="2141855" cy="0"/>
    <xdr:sp macro="" textlink="">
      <xdr:nvSpPr>
        <xdr:cNvPr id="514" name="Shape 10">
          <a:extLst>
            <a:ext uri="{FF2B5EF4-FFF2-40B4-BE49-F238E27FC236}">
              <a16:creationId xmlns:a16="http://schemas.microsoft.com/office/drawing/2014/main" id="{8883C02F-C8E4-4FAF-B4D2-C54EADF7317F}"/>
            </a:ext>
          </a:extLst>
        </xdr:cNvPr>
        <xdr:cNvSpPr/>
      </xdr:nvSpPr>
      <xdr:spPr>
        <a:xfrm>
          <a:off x="1111757" y="3629278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16</xdr:row>
      <xdr:rowOff>0</xdr:rowOff>
    </xdr:from>
    <xdr:ext cx="828675" cy="0"/>
    <xdr:sp macro="" textlink="">
      <xdr:nvSpPr>
        <xdr:cNvPr id="515" name="Shape 11">
          <a:extLst>
            <a:ext uri="{FF2B5EF4-FFF2-40B4-BE49-F238E27FC236}">
              <a16:creationId xmlns:a16="http://schemas.microsoft.com/office/drawing/2014/main" id="{4B57BF56-D849-433C-A996-0207A355FC83}"/>
            </a:ext>
          </a:extLst>
        </xdr:cNvPr>
        <xdr:cNvSpPr/>
      </xdr:nvSpPr>
      <xdr:spPr>
        <a:xfrm>
          <a:off x="215519" y="362902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16</xdr:row>
      <xdr:rowOff>0</xdr:rowOff>
    </xdr:from>
    <xdr:ext cx="371475" cy="0"/>
    <xdr:sp macro="" textlink="">
      <xdr:nvSpPr>
        <xdr:cNvPr id="516" name="Shape 12">
          <a:extLst>
            <a:ext uri="{FF2B5EF4-FFF2-40B4-BE49-F238E27FC236}">
              <a16:creationId xmlns:a16="http://schemas.microsoft.com/office/drawing/2014/main" id="{ACD2CD13-BC74-4A03-B8EF-9E6BB9C51F47}"/>
            </a:ext>
          </a:extLst>
        </xdr:cNvPr>
        <xdr:cNvSpPr/>
      </xdr:nvSpPr>
      <xdr:spPr>
        <a:xfrm>
          <a:off x="8677275" y="362902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125603</xdr:colOff>
      <xdr:row>17</xdr:row>
      <xdr:rowOff>15621</xdr:rowOff>
    </xdr:from>
    <xdr:ext cx="114300" cy="114300"/>
    <xdr:pic>
      <xdr:nvPicPr>
        <xdr:cNvPr id="517" name="image1.png">
          <a:extLst>
            <a:ext uri="{FF2B5EF4-FFF2-40B4-BE49-F238E27FC236}">
              <a16:creationId xmlns:a16="http://schemas.microsoft.com/office/drawing/2014/main" id="{FADB76CF-5F8C-48C3-9374-5EE3F8932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783" y="3848481"/>
          <a:ext cx="114300" cy="114300"/>
        </a:xfrm>
        <a:prstGeom prst="rect">
          <a:avLst/>
        </a:prstGeom>
      </xdr:spPr>
    </xdr:pic>
    <xdr:clientData/>
  </xdr:oneCellAnchor>
  <xdr:oneCellAnchor>
    <xdr:from>
      <xdr:col>0</xdr:col>
      <xdr:colOff>1109852</xdr:colOff>
      <xdr:row>20</xdr:row>
      <xdr:rowOff>6603</xdr:rowOff>
    </xdr:from>
    <xdr:ext cx="2141855" cy="0"/>
    <xdr:sp macro="" textlink="">
      <xdr:nvSpPr>
        <xdr:cNvPr id="518" name="Shape 14">
          <a:extLst>
            <a:ext uri="{FF2B5EF4-FFF2-40B4-BE49-F238E27FC236}">
              <a16:creationId xmlns:a16="http://schemas.microsoft.com/office/drawing/2014/main" id="{5720508C-2CCA-4CA3-A9E2-70EDC9DF8FFB}"/>
            </a:ext>
          </a:extLst>
        </xdr:cNvPr>
        <xdr:cNvSpPr/>
      </xdr:nvSpPr>
      <xdr:spPr>
        <a:xfrm>
          <a:off x="1111757" y="45138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20</xdr:row>
      <xdr:rowOff>6350</xdr:rowOff>
    </xdr:from>
    <xdr:ext cx="828675" cy="0"/>
    <xdr:sp macro="" textlink="">
      <xdr:nvSpPr>
        <xdr:cNvPr id="519" name="Shape 15">
          <a:extLst>
            <a:ext uri="{FF2B5EF4-FFF2-40B4-BE49-F238E27FC236}">
              <a16:creationId xmlns:a16="http://schemas.microsoft.com/office/drawing/2014/main" id="{314E23F7-A523-4FFE-ABCF-DBE24DD15B68}"/>
            </a:ext>
          </a:extLst>
        </xdr:cNvPr>
        <xdr:cNvSpPr/>
      </xdr:nvSpPr>
      <xdr:spPr>
        <a:xfrm>
          <a:off x="215519" y="45135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20</xdr:row>
      <xdr:rowOff>6350</xdr:rowOff>
    </xdr:from>
    <xdr:ext cx="371475" cy="0"/>
    <xdr:sp macro="" textlink="">
      <xdr:nvSpPr>
        <xdr:cNvPr id="520" name="Shape 16">
          <a:extLst>
            <a:ext uri="{FF2B5EF4-FFF2-40B4-BE49-F238E27FC236}">
              <a16:creationId xmlns:a16="http://schemas.microsoft.com/office/drawing/2014/main" id="{3C77A067-C335-4040-8F50-2EC916AC2D46}"/>
            </a:ext>
          </a:extLst>
        </xdr:cNvPr>
        <xdr:cNvSpPr/>
      </xdr:nvSpPr>
      <xdr:spPr>
        <a:xfrm>
          <a:off x="8677275" y="45135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125603</xdr:colOff>
      <xdr:row>21</xdr:row>
      <xdr:rowOff>21971</xdr:rowOff>
    </xdr:from>
    <xdr:ext cx="114300" cy="114300"/>
    <xdr:pic>
      <xdr:nvPicPr>
        <xdr:cNvPr id="521" name="image1.png">
          <a:extLst>
            <a:ext uri="{FF2B5EF4-FFF2-40B4-BE49-F238E27FC236}">
              <a16:creationId xmlns:a16="http://schemas.microsoft.com/office/drawing/2014/main" id="{06BE9BEA-115C-4940-B124-C2E0FC466E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783" y="4723511"/>
          <a:ext cx="114300" cy="114300"/>
        </a:xfrm>
        <a:prstGeom prst="rect">
          <a:avLst/>
        </a:prstGeom>
      </xdr:spPr>
    </xdr:pic>
    <xdr:clientData/>
  </xdr:oneCellAnchor>
  <xdr:oneCellAnchor>
    <xdr:from>
      <xdr:col>0</xdr:col>
      <xdr:colOff>1109852</xdr:colOff>
      <xdr:row>24</xdr:row>
      <xdr:rowOff>253</xdr:rowOff>
    </xdr:from>
    <xdr:ext cx="2141855" cy="0"/>
    <xdr:sp macro="" textlink="">
      <xdr:nvSpPr>
        <xdr:cNvPr id="522" name="Shape 18">
          <a:extLst>
            <a:ext uri="{FF2B5EF4-FFF2-40B4-BE49-F238E27FC236}">
              <a16:creationId xmlns:a16="http://schemas.microsoft.com/office/drawing/2014/main" id="{01C9AFCB-E221-42C1-8FC3-8E78678E1A20}"/>
            </a:ext>
          </a:extLst>
        </xdr:cNvPr>
        <xdr:cNvSpPr/>
      </xdr:nvSpPr>
      <xdr:spPr>
        <a:xfrm>
          <a:off x="1111757" y="539140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24</xdr:row>
      <xdr:rowOff>0</xdr:rowOff>
    </xdr:from>
    <xdr:ext cx="828675" cy="0"/>
    <xdr:sp macro="" textlink="">
      <xdr:nvSpPr>
        <xdr:cNvPr id="523" name="Shape 19">
          <a:extLst>
            <a:ext uri="{FF2B5EF4-FFF2-40B4-BE49-F238E27FC236}">
              <a16:creationId xmlns:a16="http://schemas.microsoft.com/office/drawing/2014/main" id="{82283533-717D-4CA5-BC6D-9512B6D5879D}"/>
            </a:ext>
          </a:extLst>
        </xdr:cNvPr>
        <xdr:cNvSpPr/>
      </xdr:nvSpPr>
      <xdr:spPr>
        <a:xfrm>
          <a:off x="215519" y="539115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24</xdr:row>
      <xdr:rowOff>0</xdr:rowOff>
    </xdr:from>
    <xdr:ext cx="371475" cy="0"/>
    <xdr:sp macro="" textlink="">
      <xdr:nvSpPr>
        <xdr:cNvPr id="524" name="Shape 20">
          <a:extLst>
            <a:ext uri="{FF2B5EF4-FFF2-40B4-BE49-F238E27FC236}">
              <a16:creationId xmlns:a16="http://schemas.microsoft.com/office/drawing/2014/main" id="{D46B7F5B-CB7D-496C-B8E9-60FD84325889}"/>
            </a:ext>
          </a:extLst>
        </xdr:cNvPr>
        <xdr:cNvSpPr/>
      </xdr:nvSpPr>
      <xdr:spPr>
        <a:xfrm>
          <a:off x="8677275" y="539115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125603</xdr:colOff>
      <xdr:row>25</xdr:row>
      <xdr:rowOff>15621</xdr:rowOff>
    </xdr:from>
    <xdr:ext cx="114300" cy="114300"/>
    <xdr:pic>
      <xdr:nvPicPr>
        <xdr:cNvPr id="525" name="image1.png">
          <a:extLst>
            <a:ext uri="{FF2B5EF4-FFF2-40B4-BE49-F238E27FC236}">
              <a16:creationId xmlns:a16="http://schemas.microsoft.com/office/drawing/2014/main" id="{A6CD190B-22A0-43D6-9C9E-506D6C254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783" y="5610606"/>
          <a:ext cx="114300" cy="114300"/>
        </a:xfrm>
        <a:prstGeom prst="rect">
          <a:avLst/>
        </a:prstGeom>
      </xdr:spPr>
    </xdr:pic>
    <xdr:clientData/>
  </xdr:oneCellAnchor>
  <xdr:oneCellAnchor>
    <xdr:from>
      <xdr:col>0</xdr:col>
      <xdr:colOff>1109852</xdr:colOff>
      <xdr:row>28</xdr:row>
      <xdr:rowOff>6603</xdr:rowOff>
    </xdr:from>
    <xdr:ext cx="2141855" cy="0"/>
    <xdr:sp macro="" textlink="">
      <xdr:nvSpPr>
        <xdr:cNvPr id="526" name="Shape 22">
          <a:extLst>
            <a:ext uri="{FF2B5EF4-FFF2-40B4-BE49-F238E27FC236}">
              <a16:creationId xmlns:a16="http://schemas.microsoft.com/office/drawing/2014/main" id="{F26A623F-AFED-4371-99F7-E490EACE15A8}"/>
            </a:ext>
          </a:extLst>
        </xdr:cNvPr>
        <xdr:cNvSpPr/>
      </xdr:nvSpPr>
      <xdr:spPr>
        <a:xfrm>
          <a:off x="1111757" y="6275958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28</xdr:row>
      <xdr:rowOff>6350</xdr:rowOff>
    </xdr:from>
    <xdr:ext cx="828675" cy="0"/>
    <xdr:sp macro="" textlink="">
      <xdr:nvSpPr>
        <xdr:cNvPr id="527" name="Shape 23">
          <a:extLst>
            <a:ext uri="{FF2B5EF4-FFF2-40B4-BE49-F238E27FC236}">
              <a16:creationId xmlns:a16="http://schemas.microsoft.com/office/drawing/2014/main" id="{636E79BE-D005-43B9-A0F1-F5FA1ABAB250}"/>
            </a:ext>
          </a:extLst>
        </xdr:cNvPr>
        <xdr:cNvSpPr/>
      </xdr:nvSpPr>
      <xdr:spPr>
        <a:xfrm>
          <a:off x="215519" y="62757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28</xdr:row>
      <xdr:rowOff>6350</xdr:rowOff>
    </xdr:from>
    <xdr:ext cx="371475" cy="0"/>
    <xdr:sp macro="" textlink="">
      <xdr:nvSpPr>
        <xdr:cNvPr id="528" name="Shape 24">
          <a:extLst>
            <a:ext uri="{FF2B5EF4-FFF2-40B4-BE49-F238E27FC236}">
              <a16:creationId xmlns:a16="http://schemas.microsoft.com/office/drawing/2014/main" id="{30556444-68DE-4AA1-BBBD-51A31D4E1AEE}"/>
            </a:ext>
          </a:extLst>
        </xdr:cNvPr>
        <xdr:cNvSpPr/>
      </xdr:nvSpPr>
      <xdr:spPr>
        <a:xfrm>
          <a:off x="8677275" y="627570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1109852</xdr:colOff>
      <xdr:row>32</xdr:row>
      <xdr:rowOff>254</xdr:rowOff>
    </xdr:from>
    <xdr:ext cx="2141855" cy="0"/>
    <xdr:sp macro="" textlink="">
      <xdr:nvSpPr>
        <xdr:cNvPr id="529" name="Shape 25">
          <a:extLst>
            <a:ext uri="{FF2B5EF4-FFF2-40B4-BE49-F238E27FC236}">
              <a16:creationId xmlns:a16="http://schemas.microsoft.com/office/drawing/2014/main" id="{3E8D638B-A08C-4863-90ED-4651E6A0206C}"/>
            </a:ext>
          </a:extLst>
        </xdr:cNvPr>
        <xdr:cNvSpPr/>
      </xdr:nvSpPr>
      <xdr:spPr>
        <a:xfrm>
          <a:off x="1111757" y="715352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32</xdr:row>
      <xdr:rowOff>0</xdr:rowOff>
    </xdr:from>
    <xdr:ext cx="828675" cy="0"/>
    <xdr:sp macro="" textlink="">
      <xdr:nvSpPr>
        <xdr:cNvPr id="530" name="Shape 26">
          <a:extLst>
            <a:ext uri="{FF2B5EF4-FFF2-40B4-BE49-F238E27FC236}">
              <a16:creationId xmlns:a16="http://schemas.microsoft.com/office/drawing/2014/main" id="{FD1E593C-B223-4DD7-9788-6C55A8251CB3}"/>
            </a:ext>
          </a:extLst>
        </xdr:cNvPr>
        <xdr:cNvSpPr/>
      </xdr:nvSpPr>
      <xdr:spPr>
        <a:xfrm>
          <a:off x="215519" y="71532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32</xdr:row>
      <xdr:rowOff>0</xdr:rowOff>
    </xdr:from>
    <xdr:ext cx="371475" cy="0"/>
    <xdr:sp macro="" textlink="">
      <xdr:nvSpPr>
        <xdr:cNvPr id="531" name="Shape 27">
          <a:extLst>
            <a:ext uri="{FF2B5EF4-FFF2-40B4-BE49-F238E27FC236}">
              <a16:creationId xmlns:a16="http://schemas.microsoft.com/office/drawing/2014/main" id="{0FE24A59-BC99-4C0D-AC88-76780AA1C6F7}"/>
            </a:ext>
          </a:extLst>
        </xdr:cNvPr>
        <xdr:cNvSpPr/>
      </xdr:nvSpPr>
      <xdr:spPr>
        <a:xfrm>
          <a:off x="8677275" y="715327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125603</xdr:colOff>
      <xdr:row>33</xdr:row>
      <xdr:rowOff>15620</xdr:rowOff>
    </xdr:from>
    <xdr:ext cx="114300" cy="114300"/>
    <xdr:pic>
      <xdr:nvPicPr>
        <xdr:cNvPr id="532" name="image1.png">
          <a:extLst>
            <a:ext uri="{FF2B5EF4-FFF2-40B4-BE49-F238E27FC236}">
              <a16:creationId xmlns:a16="http://schemas.microsoft.com/office/drawing/2014/main" id="{CB419E8B-3908-446A-9062-B576850A2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783" y="7372730"/>
          <a:ext cx="114300" cy="114300"/>
        </a:xfrm>
        <a:prstGeom prst="rect">
          <a:avLst/>
        </a:prstGeom>
      </xdr:spPr>
    </xdr:pic>
    <xdr:clientData/>
  </xdr:oneCellAnchor>
  <xdr:oneCellAnchor>
    <xdr:from>
      <xdr:col>0</xdr:col>
      <xdr:colOff>1109852</xdr:colOff>
      <xdr:row>36</xdr:row>
      <xdr:rowOff>6604</xdr:rowOff>
    </xdr:from>
    <xdr:ext cx="2141855" cy="0"/>
    <xdr:sp macro="" textlink="">
      <xdr:nvSpPr>
        <xdr:cNvPr id="533" name="Shape 29">
          <a:extLst>
            <a:ext uri="{FF2B5EF4-FFF2-40B4-BE49-F238E27FC236}">
              <a16:creationId xmlns:a16="http://schemas.microsoft.com/office/drawing/2014/main" id="{A09C5277-7E73-4A68-BFBC-AB9BDAFB1A13}"/>
            </a:ext>
          </a:extLst>
        </xdr:cNvPr>
        <xdr:cNvSpPr/>
      </xdr:nvSpPr>
      <xdr:spPr>
        <a:xfrm>
          <a:off x="1111757" y="803808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0</xdr:col>
      <xdr:colOff>217424</xdr:colOff>
      <xdr:row>36</xdr:row>
      <xdr:rowOff>6350</xdr:rowOff>
    </xdr:from>
    <xdr:ext cx="828675" cy="0"/>
    <xdr:sp macro="" textlink="">
      <xdr:nvSpPr>
        <xdr:cNvPr id="534" name="Shape 30">
          <a:extLst>
            <a:ext uri="{FF2B5EF4-FFF2-40B4-BE49-F238E27FC236}">
              <a16:creationId xmlns:a16="http://schemas.microsoft.com/office/drawing/2014/main" id="{4CFF3B1F-7218-40BD-B399-F2F8791E5800}"/>
            </a:ext>
          </a:extLst>
        </xdr:cNvPr>
        <xdr:cNvSpPr/>
      </xdr:nvSpPr>
      <xdr:spPr>
        <a:xfrm>
          <a:off x="215519" y="80378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0</xdr:colOff>
      <xdr:row>36</xdr:row>
      <xdr:rowOff>6350</xdr:rowOff>
    </xdr:from>
    <xdr:ext cx="371475" cy="0"/>
    <xdr:sp macro="" textlink="">
      <xdr:nvSpPr>
        <xdr:cNvPr id="535" name="Shape 31">
          <a:extLst>
            <a:ext uri="{FF2B5EF4-FFF2-40B4-BE49-F238E27FC236}">
              <a16:creationId xmlns:a16="http://schemas.microsoft.com/office/drawing/2014/main" id="{CADB5A05-7E25-4832-8A84-2BBE2E053DD3}"/>
            </a:ext>
          </a:extLst>
        </xdr:cNvPr>
        <xdr:cNvSpPr/>
      </xdr:nvSpPr>
      <xdr:spPr>
        <a:xfrm>
          <a:off x="8677275" y="80378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125603</xdr:colOff>
      <xdr:row>37</xdr:row>
      <xdr:rowOff>21970</xdr:rowOff>
    </xdr:from>
    <xdr:ext cx="114300" cy="114300"/>
    <xdr:pic>
      <xdr:nvPicPr>
        <xdr:cNvPr id="536" name="image1.png">
          <a:extLst>
            <a:ext uri="{FF2B5EF4-FFF2-40B4-BE49-F238E27FC236}">
              <a16:creationId xmlns:a16="http://schemas.microsoft.com/office/drawing/2014/main" id="{E06029F5-EA76-4C22-A52A-E788A0BE9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4783" y="8247760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21</xdr:row>
      <xdr:rowOff>15620</xdr:rowOff>
    </xdr:from>
    <xdr:ext cx="114300" cy="114300"/>
    <xdr:pic>
      <xdr:nvPicPr>
        <xdr:cNvPr id="537" name="image1.png">
          <a:extLst>
            <a:ext uri="{FF2B5EF4-FFF2-40B4-BE49-F238E27FC236}">
              <a16:creationId xmlns:a16="http://schemas.microsoft.com/office/drawing/2014/main" id="{568E1ABA-E333-44EE-A47A-66EBD71F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27698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23</xdr:row>
      <xdr:rowOff>324103</xdr:rowOff>
    </xdr:from>
    <xdr:ext cx="2141855" cy="0"/>
    <xdr:sp macro="" textlink="">
      <xdr:nvSpPr>
        <xdr:cNvPr id="538" name="Shape 3">
          <a:extLst>
            <a:ext uri="{FF2B5EF4-FFF2-40B4-BE49-F238E27FC236}">
              <a16:creationId xmlns:a16="http://schemas.microsoft.com/office/drawing/2014/main" id="{5B8AD0FD-EFC0-49EF-9424-A50AEE7D8384}"/>
            </a:ext>
          </a:extLst>
        </xdr:cNvPr>
        <xdr:cNvSpPr/>
      </xdr:nvSpPr>
      <xdr:spPr>
        <a:xfrm>
          <a:off x="1668834" y="39512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23</xdr:row>
      <xdr:rowOff>323850</xdr:rowOff>
    </xdr:from>
    <xdr:ext cx="828675" cy="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31943E03-808B-4111-A014-711224C4C9B0}"/>
            </a:ext>
          </a:extLst>
        </xdr:cNvPr>
        <xdr:cNvSpPr/>
      </xdr:nvSpPr>
      <xdr:spPr>
        <a:xfrm>
          <a:off x="548640" y="3950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23</xdr:row>
      <xdr:rowOff>323850</xdr:rowOff>
    </xdr:from>
    <xdr:ext cx="371475" cy="0"/>
    <xdr:sp macro="" textlink="">
      <xdr:nvSpPr>
        <xdr:cNvPr id="540" name="Shape 5">
          <a:extLst>
            <a:ext uri="{FF2B5EF4-FFF2-40B4-BE49-F238E27FC236}">
              <a16:creationId xmlns:a16="http://schemas.microsoft.com/office/drawing/2014/main" id="{7E3353FC-467C-4B4C-BA8C-E4A51647998A}"/>
            </a:ext>
          </a:extLst>
        </xdr:cNvPr>
        <xdr:cNvSpPr/>
      </xdr:nvSpPr>
      <xdr:spPr>
        <a:xfrm>
          <a:off x="8837421" y="39509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25</xdr:row>
      <xdr:rowOff>21971</xdr:rowOff>
    </xdr:from>
    <xdr:ext cx="114300" cy="114300"/>
    <xdr:pic>
      <xdr:nvPicPr>
        <xdr:cNvPr id="541" name="image1.png">
          <a:extLst>
            <a:ext uri="{FF2B5EF4-FFF2-40B4-BE49-F238E27FC236}">
              <a16:creationId xmlns:a16="http://schemas.microsoft.com/office/drawing/2014/main" id="{309598DC-A090-4ABD-A9CA-6B2AE54AD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672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28</xdr:row>
      <xdr:rowOff>253</xdr:rowOff>
    </xdr:from>
    <xdr:ext cx="2141855" cy="0"/>
    <xdr:sp macro="" textlink="">
      <xdr:nvSpPr>
        <xdr:cNvPr id="542" name="Shape 7">
          <a:extLst>
            <a:ext uri="{FF2B5EF4-FFF2-40B4-BE49-F238E27FC236}">
              <a16:creationId xmlns:a16="http://schemas.microsoft.com/office/drawing/2014/main" id="{8E02F657-0442-4509-ACC0-6DF6A23AC7C7}"/>
            </a:ext>
          </a:extLst>
        </xdr:cNvPr>
        <xdr:cNvSpPr/>
      </xdr:nvSpPr>
      <xdr:spPr>
        <a:xfrm>
          <a:off x="1645920" y="483895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</xdr:row>
      <xdr:rowOff>0</xdr:rowOff>
    </xdr:from>
    <xdr:ext cx="828675" cy="0"/>
    <xdr:sp macro="" textlink="">
      <xdr:nvSpPr>
        <xdr:cNvPr id="543" name="Shape 8">
          <a:extLst>
            <a:ext uri="{FF2B5EF4-FFF2-40B4-BE49-F238E27FC236}">
              <a16:creationId xmlns:a16="http://schemas.microsoft.com/office/drawing/2014/main" id="{6AAE4704-355A-48A6-9A55-85CBC06A470A}"/>
            </a:ext>
          </a:extLst>
        </xdr:cNvPr>
        <xdr:cNvSpPr/>
      </xdr:nvSpPr>
      <xdr:spPr>
        <a:xfrm>
          <a:off x="550037" y="48387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</xdr:row>
      <xdr:rowOff>0</xdr:rowOff>
    </xdr:from>
    <xdr:ext cx="371475" cy="0"/>
    <xdr:sp macro="" textlink="">
      <xdr:nvSpPr>
        <xdr:cNvPr id="544" name="Shape 9">
          <a:extLst>
            <a:ext uri="{FF2B5EF4-FFF2-40B4-BE49-F238E27FC236}">
              <a16:creationId xmlns:a16="http://schemas.microsoft.com/office/drawing/2014/main" id="{293DA79C-DE76-4F81-BE60-1F24DA246B05}"/>
            </a:ext>
          </a:extLst>
        </xdr:cNvPr>
        <xdr:cNvSpPr/>
      </xdr:nvSpPr>
      <xdr:spPr>
        <a:xfrm>
          <a:off x="8854440" y="48387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</xdr:row>
      <xdr:rowOff>15621</xdr:rowOff>
    </xdr:from>
    <xdr:ext cx="114300" cy="114300"/>
    <xdr:pic>
      <xdr:nvPicPr>
        <xdr:cNvPr id="545" name="image1.png">
          <a:extLst>
            <a:ext uri="{FF2B5EF4-FFF2-40B4-BE49-F238E27FC236}">
              <a16:creationId xmlns:a16="http://schemas.microsoft.com/office/drawing/2014/main" id="{C0DFB48B-AEC1-4A6B-BCFD-8C6347E2D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20484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32</xdr:row>
      <xdr:rowOff>324103</xdr:rowOff>
    </xdr:from>
    <xdr:ext cx="2141855" cy="0"/>
    <xdr:sp macro="" textlink="">
      <xdr:nvSpPr>
        <xdr:cNvPr id="546" name="Shape 11">
          <a:extLst>
            <a:ext uri="{FF2B5EF4-FFF2-40B4-BE49-F238E27FC236}">
              <a16:creationId xmlns:a16="http://schemas.microsoft.com/office/drawing/2014/main" id="{DDBF7801-4E82-43A4-9AB6-07F2D18AF738}"/>
            </a:ext>
          </a:extLst>
        </xdr:cNvPr>
        <xdr:cNvSpPr/>
      </xdr:nvSpPr>
      <xdr:spPr>
        <a:xfrm>
          <a:off x="1668834" y="58790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32</xdr:row>
      <xdr:rowOff>323850</xdr:rowOff>
    </xdr:from>
    <xdr:ext cx="828675" cy="0"/>
    <xdr:sp macro="" textlink="">
      <xdr:nvSpPr>
        <xdr:cNvPr id="547" name="Shape 12">
          <a:extLst>
            <a:ext uri="{FF2B5EF4-FFF2-40B4-BE49-F238E27FC236}">
              <a16:creationId xmlns:a16="http://schemas.microsoft.com/office/drawing/2014/main" id="{F05ED3DE-C6D6-444E-9842-F05AC19FD3CA}"/>
            </a:ext>
          </a:extLst>
        </xdr:cNvPr>
        <xdr:cNvSpPr/>
      </xdr:nvSpPr>
      <xdr:spPr>
        <a:xfrm>
          <a:off x="548640" y="58788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761</xdr:colOff>
      <xdr:row>32</xdr:row>
      <xdr:rowOff>323850</xdr:rowOff>
    </xdr:from>
    <xdr:ext cx="828675" cy="0"/>
    <xdr:sp macro="" textlink="">
      <xdr:nvSpPr>
        <xdr:cNvPr id="548" name="Shape 13">
          <a:extLst>
            <a:ext uri="{FF2B5EF4-FFF2-40B4-BE49-F238E27FC236}">
              <a16:creationId xmlns:a16="http://schemas.microsoft.com/office/drawing/2014/main" id="{9F361018-723A-49D8-B939-8802B26684FD}"/>
            </a:ext>
          </a:extLst>
        </xdr:cNvPr>
        <xdr:cNvSpPr/>
      </xdr:nvSpPr>
      <xdr:spPr>
        <a:xfrm>
          <a:off x="7742681" y="58788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32</xdr:row>
      <xdr:rowOff>323850</xdr:rowOff>
    </xdr:from>
    <xdr:ext cx="371475" cy="0"/>
    <xdr:sp macro="" textlink="">
      <xdr:nvSpPr>
        <xdr:cNvPr id="549" name="Shape 14">
          <a:extLst>
            <a:ext uri="{FF2B5EF4-FFF2-40B4-BE49-F238E27FC236}">
              <a16:creationId xmlns:a16="http://schemas.microsoft.com/office/drawing/2014/main" id="{E755C250-8EAA-4341-BC3C-1F2A27002DE3}"/>
            </a:ext>
          </a:extLst>
        </xdr:cNvPr>
        <xdr:cNvSpPr/>
      </xdr:nvSpPr>
      <xdr:spPr>
        <a:xfrm>
          <a:off x="8837421" y="58788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39</xdr:row>
      <xdr:rowOff>2920</xdr:rowOff>
    </xdr:from>
    <xdr:ext cx="828675" cy="0"/>
    <xdr:sp macro="" textlink="">
      <xdr:nvSpPr>
        <xdr:cNvPr id="550" name="Shape 15">
          <a:extLst>
            <a:ext uri="{FF2B5EF4-FFF2-40B4-BE49-F238E27FC236}">
              <a16:creationId xmlns:a16="http://schemas.microsoft.com/office/drawing/2014/main" id="{1F735BBC-5D49-4D8E-BD5E-66871C8938D2}"/>
            </a:ext>
          </a:extLst>
        </xdr:cNvPr>
        <xdr:cNvSpPr/>
      </xdr:nvSpPr>
      <xdr:spPr>
        <a:xfrm>
          <a:off x="7741920" y="68304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124459</xdr:colOff>
      <xdr:row>39</xdr:row>
      <xdr:rowOff>21970</xdr:rowOff>
    </xdr:from>
    <xdr:ext cx="114300" cy="114300"/>
    <xdr:pic>
      <xdr:nvPicPr>
        <xdr:cNvPr id="551" name="image1.png">
          <a:extLst>
            <a:ext uri="{FF2B5EF4-FFF2-40B4-BE49-F238E27FC236}">
              <a16:creationId xmlns:a16="http://schemas.microsoft.com/office/drawing/2014/main" id="{3F999460-6752-48B8-B376-600BB0543C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899" y="6849490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45</xdr:row>
      <xdr:rowOff>15620</xdr:rowOff>
    </xdr:from>
    <xdr:ext cx="114300" cy="114300"/>
    <xdr:pic>
      <xdr:nvPicPr>
        <xdr:cNvPr id="552" name="image1.png">
          <a:extLst>
            <a:ext uri="{FF2B5EF4-FFF2-40B4-BE49-F238E27FC236}">
              <a16:creationId xmlns:a16="http://schemas.microsoft.com/office/drawing/2014/main" id="{8ECDF17B-5D61-4698-8C92-359BA89E7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039480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48</xdr:row>
      <xdr:rowOff>260350</xdr:rowOff>
    </xdr:from>
    <xdr:ext cx="828675" cy="0"/>
    <xdr:sp macro="" textlink="">
      <xdr:nvSpPr>
        <xdr:cNvPr id="553" name="Shape 18">
          <a:extLst>
            <a:ext uri="{FF2B5EF4-FFF2-40B4-BE49-F238E27FC236}">
              <a16:creationId xmlns:a16="http://schemas.microsoft.com/office/drawing/2014/main" id="{FF8E457A-B0B2-49FB-8590-B1E2F9CBE649}"/>
            </a:ext>
          </a:extLst>
        </xdr:cNvPr>
        <xdr:cNvSpPr/>
      </xdr:nvSpPr>
      <xdr:spPr>
        <a:xfrm>
          <a:off x="551688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48</xdr:row>
      <xdr:rowOff>260603</xdr:rowOff>
    </xdr:from>
    <xdr:ext cx="2141855" cy="0"/>
    <xdr:sp macro="" textlink="">
      <xdr:nvSpPr>
        <xdr:cNvPr id="554" name="Shape 19">
          <a:extLst>
            <a:ext uri="{FF2B5EF4-FFF2-40B4-BE49-F238E27FC236}">
              <a16:creationId xmlns:a16="http://schemas.microsoft.com/office/drawing/2014/main" id="{3EEAD290-1F12-4478-8681-E8B7BA78E629}"/>
            </a:ext>
          </a:extLst>
        </xdr:cNvPr>
        <xdr:cNvSpPr/>
      </xdr:nvSpPr>
      <xdr:spPr>
        <a:xfrm>
          <a:off x="1645920" y="86349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48</xdr:row>
      <xdr:rowOff>260350</xdr:rowOff>
    </xdr:from>
    <xdr:ext cx="828675" cy="0"/>
    <xdr:sp macro="" textlink="">
      <xdr:nvSpPr>
        <xdr:cNvPr id="555" name="Shape 20">
          <a:extLst>
            <a:ext uri="{FF2B5EF4-FFF2-40B4-BE49-F238E27FC236}">
              <a16:creationId xmlns:a16="http://schemas.microsoft.com/office/drawing/2014/main" id="{ED1BC658-342A-488C-8A9C-088B0B67258C}"/>
            </a:ext>
          </a:extLst>
        </xdr:cNvPr>
        <xdr:cNvSpPr/>
      </xdr:nvSpPr>
      <xdr:spPr>
        <a:xfrm>
          <a:off x="550037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48</xdr:row>
      <xdr:rowOff>260350</xdr:rowOff>
    </xdr:from>
    <xdr:ext cx="828675" cy="0"/>
    <xdr:sp macro="" textlink="">
      <xdr:nvSpPr>
        <xdr:cNvPr id="556" name="Shape 21">
          <a:extLst>
            <a:ext uri="{FF2B5EF4-FFF2-40B4-BE49-F238E27FC236}">
              <a16:creationId xmlns:a16="http://schemas.microsoft.com/office/drawing/2014/main" id="{8F50D1F3-47A5-4249-9E3E-FE64897F6439}"/>
            </a:ext>
          </a:extLst>
        </xdr:cNvPr>
        <xdr:cNvSpPr/>
      </xdr:nvSpPr>
      <xdr:spPr>
        <a:xfrm>
          <a:off x="774192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48</xdr:row>
      <xdr:rowOff>260350</xdr:rowOff>
    </xdr:from>
    <xdr:ext cx="828675" cy="0"/>
    <xdr:sp macro="" textlink="">
      <xdr:nvSpPr>
        <xdr:cNvPr id="557" name="Shape 22">
          <a:extLst>
            <a:ext uri="{FF2B5EF4-FFF2-40B4-BE49-F238E27FC236}">
              <a16:creationId xmlns:a16="http://schemas.microsoft.com/office/drawing/2014/main" id="{BA7D67B9-A2EC-4EF7-8B49-FB3FF7312AFF}"/>
            </a:ext>
          </a:extLst>
        </xdr:cNvPr>
        <xdr:cNvSpPr/>
      </xdr:nvSpPr>
      <xdr:spPr>
        <a:xfrm>
          <a:off x="4419663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48</xdr:row>
      <xdr:rowOff>260350</xdr:rowOff>
    </xdr:from>
    <xdr:ext cx="828675" cy="0"/>
    <xdr:sp macro="" textlink="">
      <xdr:nvSpPr>
        <xdr:cNvPr id="558" name="Shape 23">
          <a:extLst>
            <a:ext uri="{FF2B5EF4-FFF2-40B4-BE49-F238E27FC236}">
              <a16:creationId xmlns:a16="http://schemas.microsoft.com/office/drawing/2014/main" id="{12D406CB-8C5C-4EC1-9AAB-1F236664C082}"/>
            </a:ext>
          </a:extLst>
        </xdr:cNvPr>
        <xdr:cNvSpPr/>
      </xdr:nvSpPr>
      <xdr:spPr>
        <a:xfrm>
          <a:off x="6629400" y="86347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</xdr:row>
      <xdr:rowOff>260350</xdr:rowOff>
    </xdr:from>
    <xdr:ext cx="371475" cy="0"/>
    <xdr:sp macro="" textlink="">
      <xdr:nvSpPr>
        <xdr:cNvPr id="559" name="Shape 24">
          <a:extLst>
            <a:ext uri="{FF2B5EF4-FFF2-40B4-BE49-F238E27FC236}">
              <a16:creationId xmlns:a16="http://schemas.microsoft.com/office/drawing/2014/main" id="{0841C9BD-A296-4417-BA21-8938F997D231}"/>
            </a:ext>
          </a:extLst>
        </xdr:cNvPr>
        <xdr:cNvSpPr/>
      </xdr:nvSpPr>
      <xdr:spPr>
        <a:xfrm>
          <a:off x="8854440" y="86347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</xdr:row>
      <xdr:rowOff>21970</xdr:rowOff>
    </xdr:from>
    <xdr:ext cx="114300" cy="114300"/>
    <xdr:pic>
      <xdr:nvPicPr>
        <xdr:cNvPr id="560" name="image1.png">
          <a:extLst>
            <a:ext uri="{FF2B5EF4-FFF2-40B4-BE49-F238E27FC236}">
              <a16:creationId xmlns:a16="http://schemas.microsoft.com/office/drawing/2014/main" id="{4E808A97-DA71-450D-8531-11F56D0157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84593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21468</xdr:colOff>
      <xdr:row>52</xdr:row>
      <xdr:rowOff>253</xdr:rowOff>
    </xdr:from>
    <xdr:ext cx="2141855" cy="0"/>
    <xdr:sp macro="" textlink="">
      <xdr:nvSpPr>
        <xdr:cNvPr id="561" name="Shape 26">
          <a:extLst>
            <a:ext uri="{FF2B5EF4-FFF2-40B4-BE49-F238E27FC236}">
              <a16:creationId xmlns:a16="http://schemas.microsoft.com/office/drawing/2014/main" id="{F3411DAE-CDCD-415D-8559-F0F1C4BA7990}"/>
            </a:ext>
          </a:extLst>
        </xdr:cNvPr>
        <xdr:cNvSpPr/>
      </xdr:nvSpPr>
      <xdr:spPr>
        <a:xfrm>
          <a:off x="1667388" y="95176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52</xdr:row>
      <xdr:rowOff>0</xdr:rowOff>
    </xdr:from>
    <xdr:ext cx="828675" cy="0"/>
    <xdr:sp macro="" textlink="">
      <xdr:nvSpPr>
        <xdr:cNvPr id="562" name="Shape 27">
          <a:extLst>
            <a:ext uri="{FF2B5EF4-FFF2-40B4-BE49-F238E27FC236}">
              <a16:creationId xmlns:a16="http://schemas.microsoft.com/office/drawing/2014/main" id="{3E6B42D1-00F2-4760-AB62-0900EE50E680}"/>
            </a:ext>
          </a:extLst>
        </xdr:cNvPr>
        <xdr:cNvSpPr/>
      </xdr:nvSpPr>
      <xdr:spPr>
        <a:xfrm>
          <a:off x="489305" y="95173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</xdr:row>
      <xdr:rowOff>0</xdr:rowOff>
    </xdr:from>
    <xdr:ext cx="371475" cy="0"/>
    <xdr:sp macro="" textlink="">
      <xdr:nvSpPr>
        <xdr:cNvPr id="563" name="Shape 28">
          <a:extLst>
            <a:ext uri="{FF2B5EF4-FFF2-40B4-BE49-F238E27FC236}">
              <a16:creationId xmlns:a16="http://schemas.microsoft.com/office/drawing/2014/main" id="{E8296619-FD59-43C9-8FAA-A62A54BFAA95}"/>
            </a:ext>
          </a:extLst>
        </xdr:cNvPr>
        <xdr:cNvSpPr/>
      </xdr:nvSpPr>
      <xdr:spPr>
        <a:xfrm>
          <a:off x="8854440" y="95173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53</xdr:row>
      <xdr:rowOff>15620</xdr:rowOff>
    </xdr:from>
    <xdr:ext cx="114300" cy="114300"/>
    <xdr:pic>
      <xdr:nvPicPr>
        <xdr:cNvPr id="564" name="image1.png">
          <a:extLst>
            <a:ext uri="{FF2B5EF4-FFF2-40B4-BE49-F238E27FC236}">
              <a16:creationId xmlns:a16="http://schemas.microsoft.com/office/drawing/2014/main" id="{CB5C2679-8B94-4E57-9D3E-74B8E5580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73112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21468</xdr:colOff>
      <xdr:row>56</xdr:row>
      <xdr:rowOff>6603</xdr:rowOff>
    </xdr:from>
    <xdr:ext cx="2141855" cy="0"/>
    <xdr:sp macro="" textlink="">
      <xdr:nvSpPr>
        <xdr:cNvPr id="565" name="Shape 30">
          <a:extLst>
            <a:ext uri="{FF2B5EF4-FFF2-40B4-BE49-F238E27FC236}">
              <a16:creationId xmlns:a16="http://schemas.microsoft.com/office/drawing/2014/main" id="{4248B26C-EE64-404B-ACD1-1249A3C4F618}"/>
            </a:ext>
          </a:extLst>
        </xdr:cNvPr>
        <xdr:cNvSpPr/>
      </xdr:nvSpPr>
      <xdr:spPr>
        <a:xfrm>
          <a:off x="1667388" y="104002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56</xdr:row>
      <xdr:rowOff>6350</xdr:rowOff>
    </xdr:from>
    <xdr:ext cx="828675" cy="0"/>
    <xdr:sp macro="" textlink="">
      <xdr:nvSpPr>
        <xdr:cNvPr id="566" name="Shape 31">
          <a:extLst>
            <a:ext uri="{FF2B5EF4-FFF2-40B4-BE49-F238E27FC236}">
              <a16:creationId xmlns:a16="http://schemas.microsoft.com/office/drawing/2014/main" id="{14144367-6D1C-4332-9398-2604FCDAECE8}"/>
            </a:ext>
          </a:extLst>
        </xdr:cNvPr>
        <xdr:cNvSpPr/>
      </xdr:nvSpPr>
      <xdr:spPr>
        <a:xfrm>
          <a:off x="550037" y="104000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56</xdr:row>
      <xdr:rowOff>6350</xdr:rowOff>
    </xdr:from>
    <xdr:ext cx="371475" cy="0"/>
    <xdr:sp macro="" textlink="">
      <xdr:nvSpPr>
        <xdr:cNvPr id="567" name="Shape 32">
          <a:extLst>
            <a:ext uri="{FF2B5EF4-FFF2-40B4-BE49-F238E27FC236}">
              <a16:creationId xmlns:a16="http://schemas.microsoft.com/office/drawing/2014/main" id="{E3BEDF31-BB6B-4B10-ABD7-FBA96B492ED6}"/>
            </a:ext>
          </a:extLst>
        </xdr:cNvPr>
        <xdr:cNvSpPr/>
      </xdr:nvSpPr>
      <xdr:spPr>
        <a:xfrm>
          <a:off x="8854440" y="104000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58</xdr:row>
      <xdr:rowOff>21970</xdr:rowOff>
    </xdr:from>
    <xdr:ext cx="114300" cy="114300"/>
    <xdr:pic>
      <xdr:nvPicPr>
        <xdr:cNvPr id="568" name="image1.png">
          <a:extLst>
            <a:ext uri="{FF2B5EF4-FFF2-40B4-BE49-F238E27FC236}">
              <a16:creationId xmlns:a16="http://schemas.microsoft.com/office/drawing/2014/main" id="{DA28E42D-9BB3-4AB6-BAB0-72ECA068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76617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61</xdr:row>
      <xdr:rowOff>253</xdr:rowOff>
    </xdr:from>
    <xdr:ext cx="2141855" cy="0"/>
    <xdr:sp macro="" textlink="">
      <xdr:nvSpPr>
        <xdr:cNvPr id="569" name="Shape 34">
          <a:extLst>
            <a:ext uri="{FF2B5EF4-FFF2-40B4-BE49-F238E27FC236}">
              <a16:creationId xmlns:a16="http://schemas.microsoft.com/office/drawing/2014/main" id="{9054B5C8-85E7-42B2-8FF5-281505DFBEFA}"/>
            </a:ext>
          </a:extLst>
        </xdr:cNvPr>
        <xdr:cNvSpPr/>
      </xdr:nvSpPr>
      <xdr:spPr>
        <a:xfrm>
          <a:off x="1650745" y="114378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61</xdr:row>
      <xdr:rowOff>0</xdr:rowOff>
    </xdr:from>
    <xdr:ext cx="828675" cy="0"/>
    <xdr:sp macro="" textlink="">
      <xdr:nvSpPr>
        <xdr:cNvPr id="570" name="Shape 35">
          <a:extLst>
            <a:ext uri="{FF2B5EF4-FFF2-40B4-BE49-F238E27FC236}">
              <a16:creationId xmlns:a16="http://schemas.microsoft.com/office/drawing/2014/main" id="{93B63130-F14C-46BB-9BEC-0935794092E4}"/>
            </a:ext>
          </a:extLst>
        </xdr:cNvPr>
        <xdr:cNvSpPr/>
      </xdr:nvSpPr>
      <xdr:spPr>
        <a:xfrm>
          <a:off x="550037" y="11437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61</xdr:row>
      <xdr:rowOff>0</xdr:rowOff>
    </xdr:from>
    <xdr:ext cx="371475" cy="0"/>
    <xdr:sp macro="" textlink="">
      <xdr:nvSpPr>
        <xdr:cNvPr id="571" name="Shape 36">
          <a:extLst>
            <a:ext uri="{FF2B5EF4-FFF2-40B4-BE49-F238E27FC236}">
              <a16:creationId xmlns:a16="http://schemas.microsoft.com/office/drawing/2014/main" id="{A44A2F37-6351-4F8F-A4F2-2F886EA0A0DC}"/>
            </a:ext>
          </a:extLst>
        </xdr:cNvPr>
        <xdr:cNvSpPr/>
      </xdr:nvSpPr>
      <xdr:spPr>
        <a:xfrm>
          <a:off x="8854440" y="11437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62</xdr:row>
      <xdr:rowOff>15620</xdr:rowOff>
    </xdr:from>
    <xdr:ext cx="114300" cy="114300"/>
    <xdr:pic>
      <xdr:nvPicPr>
        <xdr:cNvPr id="572" name="image1.png">
          <a:extLst>
            <a:ext uri="{FF2B5EF4-FFF2-40B4-BE49-F238E27FC236}">
              <a16:creationId xmlns:a16="http://schemas.microsoft.com/office/drawing/2014/main" id="{AFFF1635-7208-41B5-8174-CB3EBA70C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165136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65</xdr:row>
      <xdr:rowOff>6603</xdr:rowOff>
    </xdr:from>
    <xdr:ext cx="2141855" cy="0"/>
    <xdr:sp macro="" textlink="">
      <xdr:nvSpPr>
        <xdr:cNvPr id="573" name="Shape 38">
          <a:extLst>
            <a:ext uri="{FF2B5EF4-FFF2-40B4-BE49-F238E27FC236}">
              <a16:creationId xmlns:a16="http://schemas.microsoft.com/office/drawing/2014/main" id="{E98C7BF4-5838-47D3-8107-974730049CCB}"/>
            </a:ext>
          </a:extLst>
        </xdr:cNvPr>
        <xdr:cNvSpPr/>
      </xdr:nvSpPr>
      <xdr:spPr>
        <a:xfrm>
          <a:off x="1650745" y="123205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65</xdr:row>
      <xdr:rowOff>6350</xdr:rowOff>
    </xdr:from>
    <xdr:ext cx="828675" cy="0"/>
    <xdr:sp macro="" textlink="">
      <xdr:nvSpPr>
        <xdr:cNvPr id="574" name="Shape 39">
          <a:extLst>
            <a:ext uri="{FF2B5EF4-FFF2-40B4-BE49-F238E27FC236}">
              <a16:creationId xmlns:a16="http://schemas.microsoft.com/office/drawing/2014/main" id="{21C0DD1D-2352-4036-AD5B-672127CDF142}"/>
            </a:ext>
          </a:extLst>
        </xdr:cNvPr>
        <xdr:cNvSpPr/>
      </xdr:nvSpPr>
      <xdr:spPr>
        <a:xfrm>
          <a:off x="550037" y="123202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65</xdr:row>
      <xdr:rowOff>6350</xdr:rowOff>
    </xdr:from>
    <xdr:ext cx="371475" cy="0"/>
    <xdr:sp macro="" textlink="">
      <xdr:nvSpPr>
        <xdr:cNvPr id="575" name="Shape 40">
          <a:extLst>
            <a:ext uri="{FF2B5EF4-FFF2-40B4-BE49-F238E27FC236}">
              <a16:creationId xmlns:a16="http://schemas.microsoft.com/office/drawing/2014/main" id="{E50B557F-C608-4EB3-AE52-DD6B860D4825}"/>
            </a:ext>
          </a:extLst>
        </xdr:cNvPr>
        <xdr:cNvSpPr/>
      </xdr:nvSpPr>
      <xdr:spPr>
        <a:xfrm>
          <a:off x="8854440" y="123202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67</xdr:row>
      <xdr:rowOff>21970</xdr:rowOff>
    </xdr:from>
    <xdr:ext cx="114300" cy="114300"/>
    <xdr:pic>
      <xdr:nvPicPr>
        <xdr:cNvPr id="576" name="image1.png">
          <a:extLst>
            <a:ext uri="{FF2B5EF4-FFF2-40B4-BE49-F238E27FC236}">
              <a16:creationId xmlns:a16="http://schemas.microsoft.com/office/drawing/2014/main" id="{9221B352-B60A-46D4-A9C1-4316F56E8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268641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70</xdr:row>
      <xdr:rowOff>253</xdr:rowOff>
    </xdr:from>
    <xdr:ext cx="2141855" cy="0"/>
    <xdr:sp macro="" textlink="">
      <xdr:nvSpPr>
        <xdr:cNvPr id="577" name="Shape 42">
          <a:extLst>
            <a:ext uri="{FF2B5EF4-FFF2-40B4-BE49-F238E27FC236}">
              <a16:creationId xmlns:a16="http://schemas.microsoft.com/office/drawing/2014/main" id="{45E5E538-1D42-4B4F-AF85-C36200D97779}"/>
            </a:ext>
          </a:extLst>
        </xdr:cNvPr>
        <xdr:cNvSpPr/>
      </xdr:nvSpPr>
      <xdr:spPr>
        <a:xfrm>
          <a:off x="1650745" y="133581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70</xdr:row>
      <xdr:rowOff>0</xdr:rowOff>
    </xdr:from>
    <xdr:ext cx="828675" cy="0"/>
    <xdr:sp macro="" textlink="">
      <xdr:nvSpPr>
        <xdr:cNvPr id="578" name="Shape 43">
          <a:extLst>
            <a:ext uri="{FF2B5EF4-FFF2-40B4-BE49-F238E27FC236}">
              <a16:creationId xmlns:a16="http://schemas.microsoft.com/office/drawing/2014/main" id="{FEFD0CA0-BED5-4785-ABC2-D00DF47E352A}"/>
            </a:ext>
          </a:extLst>
        </xdr:cNvPr>
        <xdr:cNvSpPr/>
      </xdr:nvSpPr>
      <xdr:spPr>
        <a:xfrm>
          <a:off x="550037" y="133578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70</xdr:row>
      <xdr:rowOff>0</xdr:rowOff>
    </xdr:from>
    <xdr:ext cx="371475" cy="0"/>
    <xdr:sp macro="" textlink="">
      <xdr:nvSpPr>
        <xdr:cNvPr id="579" name="Shape 44">
          <a:extLst>
            <a:ext uri="{FF2B5EF4-FFF2-40B4-BE49-F238E27FC236}">
              <a16:creationId xmlns:a16="http://schemas.microsoft.com/office/drawing/2014/main" id="{2521CB8C-2443-41A1-8C9B-651F207C7C76}"/>
            </a:ext>
          </a:extLst>
        </xdr:cNvPr>
        <xdr:cNvSpPr/>
      </xdr:nvSpPr>
      <xdr:spPr>
        <a:xfrm>
          <a:off x="8854440" y="1335786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71</xdr:row>
      <xdr:rowOff>15621</xdr:rowOff>
    </xdr:from>
    <xdr:ext cx="114300" cy="114300"/>
    <xdr:pic>
      <xdr:nvPicPr>
        <xdr:cNvPr id="580" name="image1.png">
          <a:extLst>
            <a:ext uri="{FF2B5EF4-FFF2-40B4-BE49-F238E27FC236}">
              <a16:creationId xmlns:a16="http://schemas.microsoft.com/office/drawing/2014/main" id="{9B71D78F-41EB-408F-85DC-68787ABE79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357160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74</xdr:row>
      <xdr:rowOff>6603</xdr:rowOff>
    </xdr:from>
    <xdr:ext cx="2141855" cy="0"/>
    <xdr:sp macro="" textlink="">
      <xdr:nvSpPr>
        <xdr:cNvPr id="581" name="Shape 46">
          <a:extLst>
            <a:ext uri="{FF2B5EF4-FFF2-40B4-BE49-F238E27FC236}">
              <a16:creationId xmlns:a16="http://schemas.microsoft.com/office/drawing/2014/main" id="{A952D379-97EF-4E63-8594-92DF5652FEC2}"/>
            </a:ext>
          </a:extLst>
        </xdr:cNvPr>
        <xdr:cNvSpPr/>
      </xdr:nvSpPr>
      <xdr:spPr>
        <a:xfrm>
          <a:off x="1650745" y="142407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74</xdr:row>
      <xdr:rowOff>6349</xdr:rowOff>
    </xdr:from>
    <xdr:ext cx="828675" cy="0"/>
    <xdr:sp macro="" textlink="">
      <xdr:nvSpPr>
        <xdr:cNvPr id="582" name="Shape 47">
          <a:extLst>
            <a:ext uri="{FF2B5EF4-FFF2-40B4-BE49-F238E27FC236}">
              <a16:creationId xmlns:a16="http://schemas.microsoft.com/office/drawing/2014/main" id="{7B40E904-A41E-4120-80F9-D11C84C6FCDB}"/>
            </a:ext>
          </a:extLst>
        </xdr:cNvPr>
        <xdr:cNvSpPr/>
      </xdr:nvSpPr>
      <xdr:spPr>
        <a:xfrm>
          <a:off x="550037" y="1424050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74</xdr:row>
      <xdr:rowOff>6349</xdr:rowOff>
    </xdr:from>
    <xdr:ext cx="371475" cy="0"/>
    <xdr:sp macro="" textlink="">
      <xdr:nvSpPr>
        <xdr:cNvPr id="583" name="Shape 48">
          <a:extLst>
            <a:ext uri="{FF2B5EF4-FFF2-40B4-BE49-F238E27FC236}">
              <a16:creationId xmlns:a16="http://schemas.microsoft.com/office/drawing/2014/main" id="{9AF082CD-45CA-416D-A13C-A4C109AB3519}"/>
            </a:ext>
          </a:extLst>
        </xdr:cNvPr>
        <xdr:cNvSpPr/>
      </xdr:nvSpPr>
      <xdr:spPr>
        <a:xfrm>
          <a:off x="8854440" y="1424050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75</xdr:row>
      <xdr:rowOff>21971</xdr:rowOff>
    </xdr:from>
    <xdr:ext cx="114300" cy="114300"/>
    <xdr:pic>
      <xdr:nvPicPr>
        <xdr:cNvPr id="584" name="image1.png">
          <a:extLst>
            <a:ext uri="{FF2B5EF4-FFF2-40B4-BE49-F238E27FC236}">
              <a16:creationId xmlns:a16="http://schemas.microsoft.com/office/drawing/2014/main" id="{FE0CA5EA-84AC-40EE-9A5F-93099E88C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44542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78</xdr:row>
      <xdr:rowOff>253</xdr:rowOff>
    </xdr:from>
    <xdr:ext cx="2141855" cy="0"/>
    <xdr:sp macro="" textlink="">
      <xdr:nvSpPr>
        <xdr:cNvPr id="585" name="Shape 50">
          <a:extLst>
            <a:ext uri="{FF2B5EF4-FFF2-40B4-BE49-F238E27FC236}">
              <a16:creationId xmlns:a16="http://schemas.microsoft.com/office/drawing/2014/main" id="{F66E07D3-B993-46F6-A533-45A01E0BCCD4}"/>
            </a:ext>
          </a:extLst>
        </xdr:cNvPr>
        <xdr:cNvSpPr/>
      </xdr:nvSpPr>
      <xdr:spPr>
        <a:xfrm>
          <a:off x="1646173" y="1512595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78</xdr:row>
      <xdr:rowOff>0</xdr:rowOff>
    </xdr:from>
    <xdr:ext cx="828675" cy="0"/>
    <xdr:sp macro="" textlink="">
      <xdr:nvSpPr>
        <xdr:cNvPr id="586" name="Shape 51">
          <a:extLst>
            <a:ext uri="{FF2B5EF4-FFF2-40B4-BE49-F238E27FC236}">
              <a16:creationId xmlns:a16="http://schemas.microsoft.com/office/drawing/2014/main" id="{7EE65ED0-7FE1-4C52-90BF-E4FF0C6401AB}"/>
            </a:ext>
          </a:extLst>
        </xdr:cNvPr>
        <xdr:cNvSpPr/>
      </xdr:nvSpPr>
      <xdr:spPr>
        <a:xfrm>
          <a:off x="489305" y="151257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78</xdr:row>
      <xdr:rowOff>0</xdr:rowOff>
    </xdr:from>
    <xdr:ext cx="371475" cy="0"/>
    <xdr:sp macro="" textlink="">
      <xdr:nvSpPr>
        <xdr:cNvPr id="587" name="Shape 52">
          <a:extLst>
            <a:ext uri="{FF2B5EF4-FFF2-40B4-BE49-F238E27FC236}">
              <a16:creationId xmlns:a16="http://schemas.microsoft.com/office/drawing/2014/main" id="{16805F09-3D6F-4645-B451-9B06C8A460E5}"/>
            </a:ext>
          </a:extLst>
        </xdr:cNvPr>
        <xdr:cNvSpPr/>
      </xdr:nvSpPr>
      <xdr:spPr>
        <a:xfrm>
          <a:off x="8854440" y="151257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80</xdr:row>
      <xdr:rowOff>15621</xdr:rowOff>
    </xdr:from>
    <xdr:ext cx="114300" cy="114300"/>
    <xdr:pic>
      <xdr:nvPicPr>
        <xdr:cNvPr id="588" name="image1.png">
          <a:extLst>
            <a:ext uri="{FF2B5EF4-FFF2-40B4-BE49-F238E27FC236}">
              <a16:creationId xmlns:a16="http://schemas.microsoft.com/office/drawing/2014/main" id="{DBFD70D2-D136-465E-BA7F-FE2AD97F4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549184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83</xdr:row>
      <xdr:rowOff>6603</xdr:rowOff>
    </xdr:from>
    <xdr:ext cx="2141855" cy="0"/>
    <xdr:sp macro="" textlink="">
      <xdr:nvSpPr>
        <xdr:cNvPr id="589" name="Shape 54">
          <a:extLst>
            <a:ext uri="{FF2B5EF4-FFF2-40B4-BE49-F238E27FC236}">
              <a16:creationId xmlns:a16="http://schemas.microsoft.com/office/drawing/2014/main" id="{E7D54200-EAB8-4FA5-A19F-C66E4F1DBCEC}"/>
            </a:ext>
          </a:extLst>
        </xdr:cNvPr>
        <xdr:cNvSpPr/>
      </xdr:nvSpPr>
      <xdr:spPr>
        <a:xfrm>
          <a:off x="1646173" y="1616100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83</xdr:row>
      <xdr:rowOff>6349</xdr:rowOff>
    </xdr:from>
    <xdr:ext cx="828675" cy="0"/>
    <xdr:sp macro="" textlink="">
      <xdr:nvSpPr>
        <xdr:cNvPr id="590" name="Shape 55">
          <a:extLst>
            <a:ext uri="{FF2B5EF4-FFF2-40B4-BE49-F238E27FC236}">
              <a16:creationId xmlns:a16="http://schemas.microsoft.com/office/drawing/2014/main" id="{C82C0E14-BD2A-41C0-B47D-B68B9896EA0C}"/>
            </a:ext>
          </a:extLst>
        </xdr:cNvPr>
        <xdr:cNvSpPr/>
      </xdr:nvSpPr>
      <xdr:spPr>
        <a:xfrm>
          <a:off x="550037" y="161607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83</xdr:row>
      <xdr:rowOff>6349</xdr:rowOff>
    </xdr:from>
    <xdr:ext cx="371475" cy="0"/>
    <xdr:sp macro="" textlink="">
      <xdr:nvSpPr>
        <xdr:cNvPr id="591" name="Shape 56">
          <a:extLst>
            <a:ext uri="{FF2B5EF4-FFF2-40B4-BE49-F238E27FC236}">
              <a16:creationId xmlns:a16="http://schemas.microsoft.com/office/drawing/2014/main" id="{8BEB1AB8-7D12-4558-9464-72DA6946312F}"/>
            </a:ext>
          </a:extLst>
        </xdr:cNvPr>
        <xdr:cNvSpPr/>
      </xdr:nvSpPr>
      <xdr:spPr>
        <a:xfrm>
          <a:off x="8854440" y="1616074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86</xdr:row>
      <xdr:rowOff>21971</xdr:rowOff>
    </xdr:from>
    <xdr:ext cx="114300" cy="114300"/>
    <xdr:pic>
      <xdr:nvPicPr>
        <xdr:cNvPr id="592" name="image1.png">
          <a:extLst>
            <a:ext uri="{FF2B5EF4-FFF2-40B4-BE49-F238E27FC236}">
              <a16:creationId xmlns:a16="http://schemas.microsoft.com/office/drawing/2014/main" id="{4A2A78CA-0252-422D-9D11-C5F7C6527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667929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89</xdr:row>
      <xdr:rowOff>260604</xdr:rowOff>
    </xdr:from>
    <xdr:ext cx="2141855" cy="0"/>
    <xdr:sp macro="" textlink="">
      <xdr:nvSpPr>
        <xdr:cNvPr id="593" name="Shape 58">
          <a:extLst>
            <a:ext uri="{FF2B5EF4-FFF2-40B4-BE49-F238E27FC236}">
              <a16:creationId xmlns:a16="http://schemas.microsoft.com/office/drawing/2014/main" id="{124ECE8F-6688-4C2F-9C39-01EBD0BC4B87}"/>
            </a:ext>
          </a:extLst>
        </xdr:cNvPr>
        <xdr:cNvSpPr/>
      </xdr:nvSpPr>
      <xdr:spPr>
        <a:xfrm>
          <a:off x="1613874" y="1726844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89</xdr:row>
      <xdr:rowOff>260350</xdr:rowOff>
    </xdr:from>
    <xdr:ext cx="828675" cy="0"/>
    <xdr:sp macro="" textlink="">
      <xdr:nvSpPr>
        <xdr:cNvPr id="594" name="Shape 59">
          <a:extLst>
            <a:ext uri="{FF2B5EF4-FFF2-40B4-BE49-F238E27FC236}">
              <a16:creationId xmlns:a16="http://schemas.microsoft.com/office/drawing/2014/main" id="{ECE64F0C-CCED-47EC-986E-BACF07D31924}"/>
            </a:ext>
          </a:extLst>
        </xdr:cNvPr>
        <xdr:cNvSpPr/>
      </xdr:nvSpPr>
      <xdr:spPr>
        <a:xfrm>
          <a:off x="550037" y="172681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63337</xdr:colOff>
      <xdr:row>89</xdr:row>
      <xdr:rowOff>260350</xdr:rowOff>
    </xdr:from>
    <xdr:ext cx="828675" cy="0"/>
    <xdr:sp macro="" textlink="">
      <xdr:nvSpPr>
        <xdr:cNvPr id="595" name="Shape 60">
          <a:extLst>
            <a:ext uri="{FF2B5EF4-FFF2-40B4-BE49-F238E27FC236}">
              <a16:creationId xmlns:a16="http://schemas.microsoft.com/office/drawing/2014/main" id="{AA8262DB-ADB1-423F-B1F7-58DFC4B6969F}"/>
            </a:ext>
          </a:extLst>
        </xdr:cNvPr>
        <xdr:cNvSpPr/>
      </xdr:nvSpPr>
      <xdr:spPr>
        <a:xfrm>
          <a:off x="4406737" y="172681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89</xdr:row>
      <xdr:rowOff>260350</xdr:rowOff>
    </xdr:from>
    <xdr:ext cx="371475" cy="0"/>
    <xdr:sp macro="" textlink="">
      <xdr:nvSpPr>
        <xdr:cNvPr id="596" name="Shape 61">
          <a:extLst>
            <a:ext uri="{FF2B5EF4-FFF2-40B4-BE49-F238E27FC236}">
              <a16:creationId xmlns:a16="http://schemas.microsoft.com/office/drawing/2014/main" id="{D950C6E3-07D7-4B6A-8DA7-9988C763D2D7}"/>
            </a:ext>
          </a:extLst>
        </xdr:cNvPr>
        <xdr:cNvSpPr/>
      </xdr:nvSpPr>
      <xdr:spPr>
        <a:xfrm>
          <a:off x="8837421" y="1726819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92</xdr:row>
      <xdr:rowOff>327279</xdr:rowOff>
    </xdr:from>
    <xdr:ext cx="2141855" cy="0"/>
    <xdr:sp macro="" textlink="">
      <xdr:nvSpPr>
        <xdr:cNvPr id="597" name="Shape 62">
          <a:extLst>
            <a:ext uri="{FF2B5EF4-FFF2-40B4-BE49-F238E27FC236}">
              <a16:creationId xmlns:a16="http://schemas.microsoft.com/office/drawing/2014/main" id="{2E064BA2-3E97-48CE-9944-CECF9ED045D7}"/>
            </a:ext>
          </a:extLst>
        </xdr:cNvPr>
        <xdr:cNvSpPr/>
      </xdr:nvSpPr>
      <xdr:spPr>
        <a:xfrm>
          <a:off x="1650745" y="1783803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92</xdr:row>
      <xdr:rowOff>327025</xdr:rowOff>
    </xdr:from>
    <xdr:ext cx="828675" cy="0"/>
    <xdr:sp macro="" textlink="">
      <xdr:nvSpPr>
        <xdr:cNvPr id="598" name="Shape 63">
          <a:extLst>
            <a:ext uri="{FF2B5EF4-FFF2-40B4-BE49-F238E27FC236}">
              <a16:creationId xmlns:a16="http://schemas.microsoft.com/office/drawing/2014/main" id="{AF222524-1659-4690-A7E8-6F139374A32E}"/>
            </a:ext>
          </a:extLst>
        </xdr:cNvPr>
        <xdr:cNvSpPr/>
      </xdr:nvSpPr>
      <xdr:spPr>
        <a:xfrm>
          <a:off x="550037" y="1783778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92</xdr:row>
      <xdr:rowOff>327025</xdr:rowOff>
    </xdr:from>
    <xdr:ext cx="828675" cy="0"/>
    <xdr:sp macro="" textlink="">
      <xdr:nvSpPr>
        <xdr:cNvPr id="599" name="Shape 64">
          <a:extLst>
            <a:ext uri="{FF2B5EF4-FFF2-40B4-BE49-F238E27FC236}">
              <a16:creationId xmlns:a16="http://schemas.microsoft.com/office/drawing/2014/main" id="{FFDB38AE-4F74-43D9-A849-56B826449F65}"/>
            </a:ext>
          </a:extLst>
        </xdr:cNvPr>
        <xdr:cNvSpPr/>
      </xdr:nvSpPr>
      <xdr:spPr>
        <a:xfrm>
          <a:off x="4403808" y="1783778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92</xdr:row>
      <xdr:rowOff>327025</xdr:rowOff>
    </xdr:from>
    <xdr:ext cx="371475" cy="0"/>
    <xdr:sp macro="" textlink="">
      <xdr:nvSpPr>
        <xdr:cNvPr id="600" name="Shape 65">
          <a:extLst>
            <a:ext uri="{FF2B5EF4-FFF2-40B4-BE49-F238E27FC236}">
              <a16:creationId xmlns:a16="http://schemas.microsoft.com/office/drawing/2014/main" id="{69C7821E-4CD6-47D5-BD66-F45487F4CC90}"/>
            </a:ext>
          </a:extLst>
        </xdr:cNvPr>
        <xdr:cNvSpPr/>
      </xdr:nvSpPr>
      <xdr:spPr>
        <a:xfrm>
          <a:off x="8854440" y="1783778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94</xdr:row>
      <xdr:rowOff>6350</xdr:rowOff>
    </xdr:from>
    <xdr:ext cx="828675" cy="0"/>
    <xdr:sp macro="" textlink="">
      <xdr:nvSpPr>
        <xdr:cNvPr id="601" name="Shape 66">
          <a:extLst>
            <a:ext uri="{FF2B5EF4-FFF2-40B4-BE49-F238E27FC236}">
              <a16:creationId xmlns:a16="http://schemas.microsoft.com/office/drawing/2014/main" id="{D564480E-26B7-4D84-8C40-4E044B4B8923}"/>
            </a:ext>
          </a:extLst>
        </xdr:cNvPr>
        <xdr:cNvSpPr/>
      </xdr:nvSpPr>
      <xdr:spPr>
        <a:xfrm>
          <a:off x="4424807" y="180352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94</xdr:row>
      <xdr:rowOff>25146</xdr:rowOff>
    </xdr:from>
    <xdr:ext cx="114300" cy="114300"/>
    <xdr:pic>
      <xdr:nvPicPr>
        <xdr:cNvPr id="602" name="image1.png">
          <a:extLst>
            <a:ext uri="{FF2B5EF4-FFF2-40B4-BE49-F238E27FC236}">
              <a16:creationId xmlns:a16="http://schemas.microsoft.com/office/drawing/2014/main" id="{09AA69E8-A976-4B8A-A6B6-3D1839255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805406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97</xdr:row>
      <xdr:rowOff>3429</xdr:rowOff>
    </xdr:from>
    <xdr:ext cx="2141855" cy="0"/>
    <xdr:sp macro="" textlink="">
      <xdr:nvSpPr>
        <xdr:cNvPr id="603" name="Shape 68">
          <a:extLst>
            <a:ext uri="{FF2B5EF4-FFF2-40B4-BE49-F238E27FC236}">
              <a16:creationId xmlns:a16="http://schemas.microsoft.com/office/drawing/2014/main" id="{B3E5BAD9-70CC-4AEE-AE3B-268572CE3A35}"/>
            </a:ext>
          </a:extLst>
        </xdr:cNvPr>
        <xdr:cNvSpPr/>
      </xdr:nvSpPr>
      <xdr:spPr>
        <a:xfrm>
          <a:off x="1650745" y="1872576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97</xdr:row>
      <xdr:rowOff>3175</xdr:rowOff>
    </xdr:from>
    <xdr:ext cx="828675" cy="0"/>
    <xdr:sp macro="" textlink="">
      <xdr:nvSpPr>
        <xdr:cNvPr id="604" name="Shape 69">
          <a:extLst>
            <a:ext uri="{FF2B5EF4-FFF2-40B4-BE49-F238E27FC236}">
              <a16:creationId xmlns:a16="http://schemas.microsoft.com/office/drawing/2014/main" id="{BF18502C-49AC-481E-8BE4-81750BFDEB62}"/>
            </a:ext>
          </a:extLst>
        </xdr:cNvPr>
        <xdr:cNvSpPr/>
      </xdr:nvSpPr>
      <xdr:spPr>
        <a:xfrm>
          <a:off x="550037" y="187255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97</xdr:row>
      <xdr:rowOff>3175</xdr:rowOff>
    </xdr:from>
    <xdr:ext cx="828675" cy="0"/>
    <xdr:sp macro="" textlink="">
      <xdr:nvSpPr>
        <xdr:cNvPr id="605" name="Shape 70">
          <a:extLst>
            <a:ext uri="{FF2B5EF4-FFF2-40B4-BE49-F238E27FC236}">
              <a16:creationId xmlns:a16="http://schemas.microsoft.com/office/drawing/2014/main" id="{2B077884-F20B-41A2-A742-B21295F2ED7E}"/>
            </a:ext>
          </a:extLst>
        </xdr:cNvPr>
        <xdr:cNvSpPr/>
      </xdr:nvSpPr>
      <xdr:spPr>
        <a:xfrm>
          <a:off x="4403808" y="187255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97</xdr:row>
      <xdr:rowOff>3175</xdr:rowOff>
    </xdr:from>
    <xdr:ext cx="371475" cy="0"/>
    <xdr:sp macro="" textlink="">
      <xdr:nvSpPr>
        <xdr:cNvPr id="606" name="Shape 71">
          <a:extLst>
            <a:ext uri="{FF2B5EF4-FFF2-40B4-BE49-F238E27FC236}">
              <a16:creationId xmlns:a16="http://schemas.microsoft.com/office/drawing/2014/main" id="{C046C202-B463-47B2-96DF-3A256B70F233}"/>
            </a:ext>
          </a:extLst>
        </xdr:cNvPr>
        <xdr:cNvSpPr/>
      </xdr:nvSpPr>
      <xdr:spPr>
        <a:xfrm>
          <a:off x="8854440" y="1872551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98</xdr:row>
      <xdr:rowOff>0</xdr:rowOff>
    </xdr:from>
    <xdr:ext cx="828675" cy="0"/>
    <xdr:sp macro="" textlink="">
      <xdr:nvSpPr>
        <xdr:cNvPr id="607" name="Shape 72">
          <a:extLst>
            <a:ext uri="{FF2B5EF4-FFF2-40B4-BE49-F238E27FC236}">
              <a16:creationId xmlns:a16="http://schemas.microsoft.com/office/drawing/2014/main" id="{CEBC9EB1-D3DA-4526-B5DE-00968DE58FFF}"/>
            </a:ext>
          </a:extLst>
        </xdr:cNvPr>
        <xdr:cNvSpPr/>
      </xdr:nvSpPr>
      <xdr:spPr>
        <a:xfrm>
          <a:off x="4424807" y="189204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98</xdr:row>
      <xdr:rowOff>18796</xdr:rowOff>
    </xdr:from>
    <xdr:ext cx="114300" cy="114300"/>
    <xdr:pic>
      <xdr:nvPicPr>
        <xdr:cNvPr id="608" name="image1.png">
          <a:extLst>
            <a:ext uri="{FF2B5EF4-FFF2-40B4-BE49-F238E27FC236}">
              <a16:creationId xmlns:a16="http://schemas.microsoft.com/office/drawing/2014/main" id="{8F0741B5-ECB0-4832-ACF6-B5B749061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893925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100</xdr:row>
      <xdr:rowOff>327279</xdr:rowOff>
    </xdr:from>
    <xdr:ext cx="2141855" cy="0"/>
    <xdr:sp macro="" textlink="">
      <xdr:nvSpPr>
        <xdr:cNvPr id="609" name="Shape 74">
          <a:extLst>
            <a:ext uri="{FF2B5EF4-FFF2-40B4-BE49-F238E27FC236}">
              <a16:creationId xmlns:a16="http://schemas.microsoft.com/office/drawing/2014/main" id="{E1FB9180-D1CB-44B4-999F-D1C509AA6E1C}"/>
            </a:ext>
          </a:extLst>
        </xdr:cNvPr>
        <xdr:cNvSpPr/>
      </xdr:nvSpPr>
      <xdr:spPr>
        <a:xfrm>
          <a:off x="1650745" y="1961349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100</xdr:row>
      <xdr:rowOff>327025</xdr:rowOff>
    </xdr:from>
    <xdr:ext cx="828675" cy="0"/>
    <xdr:sp macro="" textlink="">
      <xdr:nvSpPr>
        <xdr:cNvPr id="610" name="Shape 75">
          <a:extLst>
            <a:ext uri="{FF2B5EF4-FFF2-40B4-BE49-F238E27FC236}">
              <a16:creationId xmlns:a16="http://schemas.microsoft.com/office/drawing/2014/main" id="{A378F4B2-8AD3-44A0-A0B2-DF12A9507C86}"/>
            </a:ext>
          </a:extLst>
        </xdr:cNvPr>
        <xdr:cNvSpPr/>
      </xdr:nvSpPr>
      <xdr:spPr>
        <a:xfrm>
          <a:off x="550037" y="196132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100</xdr:row>
      <xdr:rowOff>327025</xdr:rowOff>
    </xdr:from>
    <xdr:ext cx="828675" cy="0"/>
    <xdr:sp macro="" textlink="">
      <xdr:nvSpPr>
        <xdr:cNvPr id="611" name="Shape 76">
          <a:extLst>
            <a:ext uri="{FF2B5EF4-FFF2-40B4-BE49-F238E27FC236}">
              <a16:creationId xmlns:a16="http://schemas.microsoft.com/office/drawing/2014/main" id="{A3988F60-3495-4C77-ADA0-3807188AB330}"/>
            </a:ext>
          </a:extLst>
        </xdr:cNvPr>
        <xdr:cNvSpPr/>
      </xdr:nvSpPr>
      <xdr:spPr>
        <a:xfrm>
          <a:off x="4403808" y="196132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100</xdr:row>
      <xdr:rowOff>327025</xdr:rowOff>
    </xdr:from>
    <xdr:ext cx="371475" cy="0"/>
    <xdr:sp macro="" textlink="">
      <xdr:nvSpPr>
        <xdr:cNvPr id="612" name="Shape 77">
          <a:extLst>
            <a:ext uri="{FF2B5EF4-FFF2-40B4-BE49-F238E27FC236}">
              <a16:creationId xmlns:a16="http://schemas.microsoft.com/office/drawing/2014/main" id="{176533F1-9D9F-4B05-925D-E2022402D9A6}"/>
            </a:ext>
          </a:extLst>
        </xdr:cNvPr>
        <xdr:cNvSpPr/>
      </xdr:nvSpPr>
      <xdr:spPr>
        <a:xfrm>
          <a:off x="8854440" y="1961324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105</xdr:row>
      <xdr:rowOff>6350</xdr:rowOff>
    </xdr:from>
    <xdr:ext cx="828675" cy="0"/>
    <xdr:sp macro="" textlink="">
      <xdr:nvSpPr>
        <xdr:cNvPr id="613" name="Shape 78">
          <a:extLst>
            <a:ext uri="{FF2B5EF4-FFF2-40B4-BE49-F238E27FC236}">
              <a16:creationId xmlns:a16="http://schemas.microsoft.com/office/drawing/2014/main" id="{CA2AE0F7-4E75-4065-B444-5305E036E76B}"/>
            </a:ext>
          </a:extLst>
        </xdr:cNvPr>
        <xdr:cNvSpPr/>
      </xdr:nvSpPr>
      <xdr:spPr>
        <a:xfrm>
          <a:off x="4424807" y="202603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105</xdr:row>
      <xdr:rowOff>25146</xdr:rowOff>
    </xdr:from>
    <xdr:ext cx="114300" cy="114300"/>
    <xdr:pic>
      <xdr:nvPicPr>
        <xdr:cNvPr id="614" name="image1.png">
          <a:extLst>
            <a:ext uri="{FF2B5EF4-FFF2-40B4-BE49-F238E27FC236}">
              <a16:creationId xmlns:a16="http://schemas.microsoft.com/office/drawing/2014/main" id="{2EAF0639-3F7A-4D10-8ABB-8BE1D4991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0279106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107</xdr:row>
      <xdr:rowOff>320929</xdr:rowOff>
    </xdr:from>
    <xdr:ext cx="2141855" cy="0"/>
    <xdr:sp macro="" textlink="">
      <xdr:nvSpPr>
        <xdr:cNvPr id="615" name="Shape 80">
          <a:extLst>
            <a:ext uri="{FF2B5EF4-FFF2-40B4-BE49-F238E27FC236}">
              <a16:creationId xmlns:a16="http://schemas.microsoft.com/office/drawing/2014/main" id="{FAF31BCE-1A1D-47CD-9681-DB62D6B7E7A3}"/>
            </a:ext>
          </a:extLst>
        </xdr:cNvPr>
        <xdr:cNvSpPr/>
      </xdr:nvSpPr>
      <xdr:spPr>
        <a:xfrm>
          <a:off x="1613874" y="209558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164316</xdr:colOff>
      <xdr:row>107</xdr:row>
      <xdr:rowOff>320675</xdr:rowOff>
    </xdr:from>
    <xdr:ext cx="828675" cy="0"/>
    <xdr:sp macro="" textlink="">
      <xdr:nvSpPr>
        <xdr:cNvPr id="616" name="Shape 81">
          <a:extLst>
            <a:ext uri="{FF2B5EF4-FFF2-40B4-BE49-F238E27FC236}">
              <a16:creationId xmlns:a16="http://schemas.microsoft.com/office/drawing/2014/main" id="{DA4DB75E-47D6-4520-845A-75B7AC2A52DF}"/>
            </a:ext>
          </a:extLst>
        </xdr:cNvPr>
        <xdr:cNvSpPr/>
      </xdr:nvSpPr>
      <xdr:spPr>
        <a:xfrm>
          <a:off x="484356" y="209556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107</xdr:row>
      <xdr:rowOff>320675</xdr:rowOff>
    </xdr:from>
    <xdr:ext cx="371475" cy="0"/>
    <xdr:sp macro="" textlink="">
      <xdr:nvSpPr>
        <xdr:cNvPr id="617" name="Shape 82">
          <a:extLst>
            <a:ext uri="{FF2B5EF4-FFF2-40B4-BE49-F238E27FC236}">
              <a16:creationId xmlns:a16="http://schemas.microsoft.com/office/drawing/2014/main" id="{374788C1-21AF-46E0-B71E-BED8A7F4C705}"/>
            </a:ext>
          </a:extLst>
        </xdr:cNvPr>
        <xdr:cNvSpPr/>
      </xdr:nvSpPr>
      <xdr:spPr>
        <a:xfrm>
          <a:off x="8837421" y="209556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112</xdr:row>
      <xdr:rowOff>18796</xdr:rowOff>
    </xdr:from>
    <xdr:ext cx="114300" cy="114300"/>
    <xdr:pic>
      <xdr:nvPicPr>
        <xdr:cNvPr id="618" name="image1.png">
          <a:extLst>
            <a:ext uri="{FF2B5EF4-FFF2-40B4-BE49-F238E27FC236}">
              <a16:creationId xmlns:a16="http://schemas.microsoft.com/office/drawing/2014/main" id="{A52C64FA-9FB9-42B6-B74D-630BFC631A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162911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114</xdr:row>
      <xdr:rowOff>327279</xdr:rowOff>
    </xdr:from>
    <xdr:ext cx="2141855" cy="0"/>
    <xdr:sp macro="" textlink="">
      <xdr:nvSpPr>
        <xdr:cNvPr id="619" name="Shape 84">
          <a:extLst>
            <a:ext uri="{FF2B5EF4-FFF2-40B4-BE49-F238E27FC236}">
              <a16:creationId xmlns:a16="http://schemas.microsoft.com/office/drawing/2014/main" id="{57FB49FA-F443-42EE-882E-508E58341443}"/>
            </a:ext>
          </a:extLst>
        </xdr:cNvPr>
        <xdr:cNvSpPr/>
      </xdr:nvSpPr>
      <xdr:spPr>
        <a:xfrm>
          <a:off x="1650745" y="2230335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114</xdr:row>
      <xdr:rowOff>327025</xdr:rowOff>
    </xdr:from>
    <xdr:ext cx="828675" cy="0"/>
    <xdr:sp macro="" textlink="">
      <xdr:nvSpPr>
        <xdr:cNvPr id="620" name="Shape 85">
          <a:extLst>
            <a:ext uri="{FF2B5EF4-FFF2-40B4-BE49-F238E27FC236}">
              <a16:creationId xmlns:a16="http://schemas.microsoft.com/office/drawing/2014/main" id="{65DC44FB-776B-4974-8CC1-95B4223D7502}"/>
            </a:ext>
          </a:extLst>
        </xdr:cNvPr>
        <xdr:cNvSpPr/>
      </xdr:nvSpPr>
      <xdr:spPr>
        <a:xfrm>
          <a:off x="550037" y="223031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114</xdr:row>
      <xdr:rowOff>327025</xdr:rowOff>
    </xdr:from>
    <xdr:ext cx="371475" cy="0"/>
    <xdr:sp macro="" textlink="">
      <xdr:nvSpPr>
        <xdr:cNvPr id="621" name="Shape 86">
          <a:extLst>
            <a:ext uri="{FF2B5EF4-FFF2-40B4-BE49-F238E27FC236}">
              <a16:creationId xmlns:a16="http://schemas.microsoft.com/office/drawing/2014/main" id="{B29D0F17-45F3-4832-9C5F-67C63A7135B1}"/>
            </a:ext>
          </a:extLst>
        </xdr:cNvPr>
        <xdr:cNvSpPr/>
      </xdr:nvSpPr>
      <xdr:spPr>
        <a:xfrm>
          <a:off x="8854440" y="2230310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116</xdr:row>
      <xdr:rowOff>25146</xdr:rowOff>
    </xdr:from>
    <xdr:ext cx="114300" cy="114300"/>
    <xdr:pic>
      <xdr:nvPicPr>
        <xdr:cNvPr id="622" name="image1.png">
          <a:extLst>
            <a:ext uri="{FF2B5EF4-FFF2-40B4-BE49-F238E27FC236}">
              <a16:creationId xmlns:a16="http://schemas.microsoft.com/office/drawing/2014/main" id="{B1FAFE41-CA10-432E-A134-061B0C4A36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251938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119</xdr:row>
      <xdr:rowOff>3429</xdr:rowOff>
    </xdr:from>
    <xdr:ext cx="2141855" cy="0"/>
    <xdr:sp macro="" textlink="">
      <xdr:nvSpPr>
        <xdr:cNvPr id="623" name="Shape 88">
          <a:extLst>
            <a:ext uri="{FF2B5EF4-FFF2-40B4-BE49-F238E27FC236}">
              <a16:creationId xmlns:a16="http://schemas.microsoft.com/office/drawing/2014/main" id="{0EFAF5DB-DE68-43B5-A95B-54C54413A1CC}"/>
            </a:ext>
          </a:extLst>
        </xdr:cNvPr>
        <xdr:cNvSpPr/>
      </xdr:nvSpPr>
      <xdr:spPr>
        <a:xfrm>
          <a:off x="1650745" y="231910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119</xdr:row>
      <xdr:rowOff>3175</xdr:rowOff>
    </xdr:from>
    <xdr:ext cx="828675" cy="0"/>
    <xdr:sp macro="" textlink="">
      <xdr:nvSpPr>
        <xdr:cNvPr id="624" name="Shape 89">
          <a:extLst>
            <a:ext uri="{FF2B5EF4-FFF2-40B4-BE49-F238E27FC236}">
              <a16:creationId xmlns:a16="http://schemas.microsoft.com/office/drawing/2014/main" id="{F251CB0A-13B5-43E0-80C4-4C8F0FB04498}"/>
            </a:ext>
          </a:extLst>
        </xdr:cNvPr>
        <xdr:cNvSpPr/>
      </xdr:nvSpPr>
      <xdr:spPr>
        <a:xfrm>
          <a:off x="550037" y="231908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119</xdr:row>
      <xdr:rowOff>3175</xdr:rowOff>
    </xdr:from>
    <xdr:ext cx="371475" cy="0"/>
    <xdr:sp macro="" textlink="">
      <xdr:nvSpPr>
        <xdr:cNvPr id="625" name="Shape 90">
          <a:extLst>
            <a:ext uri="{FF2B5EF4-FFF2-40B4-BE49-F238E27FC236}">
              <a16:creationId xmlns:a16="http://schemas.microsoft.com/office/drawing/2014/main" id="{F79F55A6-1115-49E3-90F6-CC5C2414D20D}"/>
            </a:ext>
          </a:extLst>
        </xdr:cNvPr>
        <xdr:cNvSpPr/>
      </xdr:nvSpPr>
      <xdr:spPr>
        <a:xfrm>
          <a:off x="8854440" y="231908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121</xdr:row>
      <xdr:rowOff>18796</xdr:rowOff>
    </xdr:from>
    <xdr:ext cx="114300" cy="114300"/>
    <xdr:pic>
      <xdr:nvPicPr>
        <xdr:cNvPr id="626" name="image1.png">
          <a:extLst>
            <a:ext uri="{FF2B5EF4-FFF2-40B4-BE49-F238E27FC236}">
              <a16:creationId xmlns:a16="http://schemas.microsoft.com/office/drawing/2014/main" id="{4F45F534-E184-4892-9C6A-D5B6AE5A0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3556976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123</xdr:row>
      <xdr:rowOff>327279</xdr:rowOff>
    </xdr:from>
    <xdr:ext cx="2141855" cy="0"/>
    <xdr:sp macro="" textlink="">
      <xdr:nvSpPr>
        <xdr:cNvPr id="627" name="Shape 92">
          <a:extLst>
            <a:ext uri="{FF2B5EF4-FFF2-40B4-BE49-F238E27FC236}">
              <a16:creationId xmlns:a16="http://schemas.microsoft.com/office/drawing/2014/main" id="{6CDB00C3-D37F-4FE0-AA27-E56DD320ED35}"/>
            </a:ext>
          </a:extLst>
        </xdr:cNvPr>
        <xdr:cNvSpPr/>
      </xdr:nvSpPr>
      <xdr:spPr>
        <a:xfrm>
          <a:off x="1613874" y="2423121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164316</xdr:colOff>
      <xdr:row>123</xdr:row>
      <xdr:rowOff>327025</xdr:rowOff>
    </xdr:from>
    <xdr:ext cx="828675" cy="0"/>
    <xdr:sp macro="" textlink="">
      <xdr:nvSpPr>
        <xdr:cNvPr id="628" name="Shape 93">
          <a:extLst>
            <a:ext uri="{FF2B5EF4-FFF2-40B4-BE49-F238E27FC236}">
              <a16:creationId xmlns:a16="http://schemas.microsoft.com/office/drawing/2014/main" id="{78508497-825E-42C6-B968-CABFFD239642}"/>
            </a:ext>
          </a:extLst>
        </xdr:cNvPr>
        <xdr:cNvSpPr/>
      </xdr:nvSpPr>
      <xdr:spPr>
        <a:xfrm>
          <a:off x="484356" y="242309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123</xdr:row>
      <xdr:rowOff>327025</xdr:rowOff>
    </xdr:from>
    <xdr:ext cx="371475" cy="0"/>
    <xdr:sp macro="" textlink="">
      <xdr:nvSpPr>
        <xdr:cNvPr id="629" name="Shape 94">
          <a:extLst>
            <a:ext uri="{FF2B5EF4-FFF2-40B4-BE49-F238E27FC236}">
              <a16:creationId xmlns:a16="http://schemas.microsoft.com/office/drawing/2014/main" id="{3A16FCC9-756C-4F7E-8468-38A7484FA77E}"/>
            </a:ext>
          </a:extLst>
        </xdr:cNvPr>
        <xdr:cNvSpPr/>
      </xdr:nvSpPr>
      <xdr:spPr>
        <a:xfrm>
          <a:off x="8854440" y="2423096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126</xdr:row>
      <xdr:rowOff>25146</xdr:rowOff>
    </xdr:from>
    <xdr:ext cx="114300" cy="114300"/>
    <xdr:pic>
      <xdr:nvPicPr>
        <xdr:cNvPr id="630" name="image1.png">
          <a:extLst>
            <a:ext uri="{FF2B5EF4-FFF2-40B4-BE49-F238E27FC236}">
              <a16:creationId xmlns:a16="http://schemas.microsoft.com/office/drawing/2014/main" id="{406111D6-CCE1-4E56-A13C-09829AE68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4592026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129</xdr:row>
      <xdr:rowOff>3429</xdr:rowOff>
    </xdr:from>
    <xdr:ext cx="2141855" cy="0"/>
    <xdr:sp macro="" textlink="">
      <xdr:nvSpPr>
        <xdr:cNvPr id="631" name="Shape 96">
          <a:extLst>
            <a:ext uri="{FF2B5EF4-FFF2-40B4-BE49-F238E27FC236}">
              <a16:creationId xmlns:a16="http://schemas.microsoft.com/office/drawing/2014/main" id="{0C9B084A-FC46-46CE-82FB-C286A4026FA0}"/>
            </a:ext>
          </a:extLst>
        </xdr:cNvPr>
        <xdr:cNvSpPr/>
      </xdr:nvSpPr>
      <xdr:spPr>
        <a:xfrm>
          <a:off x="1650745" y="2526372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129</xdr:row>
      <xdr:rowOff>3175</xdr:rowOff>
    </xdr:from>
    <xdr:ext cx="828675" cy="0"/>
    <xdr:sp macro="" textlink="">
      <xdr:nvSpPr>
        <xdr:cNvPr id="632" name="Shape 97">
          <a:extLst>
            <a:ext uri="{FF2B5EF4-FFF2-40B4-BE49-F238E27FC236}">
              <a16:creationId xmlns:a16="http://schemas.microsoft.com/office/drawing/2014/main" id="{C7FBE310-7880-4BF7-ABBC-217DD4F82A63}"/>
            </a:ext>
          </a:extLst>
        </xdr:cNvPr>
        <xdr:cNvSpPr/>
      </xdr:nvSpPr>
      <xdr:spPr>
        <a:xfrm>
          <a:off x="550037" y="25263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129</xdr:row>
      <xdr:rowOff>3175</xdr:rowOff>
    </xdr:from>
    <xdr:ext cx="371475" cy="0"/>
    <xdr:sp macro="" textlink="">
      <xdr:nvSpPr>
        <xdr:cNvPr id="633" name="Shape 98">
          <a:extLst>
            <a:ext uri="{FF2B5EF4-FFF2-40B4-BE49-F238E27FC236}">
              <a16:creationId xmlns:a16="http://schemas.microsoft.com/office/drawing/2014/main" id="{26F7CA9E-1A3B-4463-AAFE-A12C6B6BE216}"/>
            </a:ext>
          </a:extLst>
        </xdr:cNvPr>
        <xdr:cNvSpPr/>
      </xdr:nvSpPr>
      <xdr:spPr>
        <a:xfrm>
          <a:off x="8854440" y="2526347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16002</xdr:colOff>
      <xdr:row>132</xdr:row>
      <xdr:rowOff>254253</xdr:rowOff>
    </xdr:from>
    <xdr:ext cx="2141855" cy="0"/>
    <xdr:sp macro="" textlink="">
      <xdr:nvSpPr>
        <xdr:cNvPr id="634" name="Shape 99">
          <a:extLst>
            <a:ext uri="{FF2B5EF4-FFF2-40B4-BE49-F238E27FC236}">
              <a16:creationId xmlns:a16="http://schemas.microsoft.com/office/drawing/2014/main" id="{B26880F8-526C-49AA-A82D-5B2CF89D7D9A}"/>
            </a:ext>
          </a:extLst>
        </xdr:cNvPr>
        <xdr:cNvSpPr/>
      </xdr:nvSpPr>
      <xdr:spPr>
        <a:xfrm>
          <a:off x="1661922" y="258803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132</xdr:row>
      <xdr:rowOff>253999</xdr:rowOff>
    </xdr:from>
    <xdr:ext cx="828675" cy="0"/>
    <xdr:sp macro="" textlink="">
      <xdr:nvSpPr>
        <xdr:cNvPr id="635" name="Shape 100">
          <a:extLst>
            <a:ext uri="{FF2B5EF4-FFF2-40B4-BE49-F238E27FC236}">
              <a16:creationId xmlns:a16="http://schemas.microsoft.com/office/drawing/2014/main" id="{A2565841-C38D-4BF5-AB1A-1072CB2A63A8}"/>
            </a:ext>
          </a:extLst>
        </xdr:cNvPr>
        <xdr:cNvSpPr/>
      </xdr:nvSpPr>
      <xdr:spPr>
        <a:xfrm>
          <a:off x="550037" y="2588005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132</xdr:row>
      <xdr:rowOff>253999</xdr:rowOff>
    </xdr:from>
    <xdr:ext cx="371475" cy="0"/>
    <xdr:sp macro="" textlink="">
      <xdr:nvSpPr>
        <xdr:cNvPr id="636" name="Shape 101">
          <a:extLst>
            <a:ext uri="{FF2B5EF4-FFF2-40B4-BE49-F238E27FC236}">
              <a16:creationId xmlns:a16="http://schemas.microsoft.com/office/drawing/2014/main" id="{2DE7BBC5-177B-42CB-90EF-3E4CAEBEDE09}"/>
            </a:ext>
          </a:extLst>
        </xdr:cNvPr>
        <xdr:cNvSpPr/>
      </xdr:nvSpPr>
      <xdr:spPr>
        <a:xfrm>
          <a:off x="8854440" y="2588005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136</xdr:row>
      <xdr:rowOff>21971</xdr:rowOff>
    </xdr:from>
    <xdr:ext cx="114300" cy="114300"/>
    <xdr:pic>
      <xdr:nvPicPr>
        <xdr:cNvPr id="637" name="image1.png">
          <a:extLst>
            <a:ext uri="{FF2B5EF4-FFF2-40B4-BE49-F238E27FC236}">
              <a16:creationId xmlns:a16="http://schemas.microsoft.com/office/drawing/2014/main" id="{9DC0CCDC-420A-4BE3-895A-5013DD181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643289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16002</xdr:colOff>
      <xdr:row>139</xdr:row>
      <xdr:rowOff>255</xdr:rowOff>
    </xdr:from>
    <xdr:ext cx="2141855" cy="0"/>
    <xdr:sp macro="" textlink="">
      <xdr:nvSpPr>
        <xdr:cNvPr id="638" name="Shape 103">
          <a:extLst>
            <a:ext uri="{FF2B5EF4-FFF2-40B4-BE49-F238E27FC236}">
              <a16:creationId xmlns:a16="http://schemas.microsoft.com/office/drawing/2014/main" id="{A8B6446C-604D-4905-8321-A908FDDD2E9C}"/>
            </a:ext>
          </a:extLst>
        </xdr:cNvPr>
        <xdr:cNvSpPr/>
      </xdr:nvSpPr>
      <xdr:spPr>
        <a:xfrm>
          <a:off x="1661922" y="2710459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139</xdr:row>
      <xdr:rowOff>1</xdr:rowOff>
    </xdr:from>
    <xdr:ext cx="828675" cy="0"/>
    <xdr:sp macro="" textlink="">
      <xdr:nvSpPr>
        <xdr:cNvPr id="639" name="Shape 104">
          <a:extLst>
            <a:ext uri="{FF2B5EF4-FFF2-40B4-BE49-F238E27FC236}">
              <a16:creationId xmlns:a16="http://schemas.microsoft.com/office/drawing/2014/main" id="{3115343E-3BC8-4D57-9459-BA219F5D3B71}"/>
            </a:ext>
          </a:extLst>
        </xdr:cNvPr>
        <xdr:cNvSpPr/>
      </xdr:nvSpPr>
      <xdr:spPr>
        <a:xfrm>
          <a:off x="550037" y="2710434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139</xdr:row>
      <xdr:rowOff>1</xdr:rowOff>
    </xdr:from>
    <xdr:ext cx="371475" cy="0"/>
    <xdr:sp macro="" textlink="">
      <xdr:nvSpPr>
        <xdr:cNvPr id="640" name="Shape 105">
          <a:extLst>
            <a:ext uri="{FF2B5EF4-FFF2-40B4-BE49-F238E27FC236}">
              <a16:creationId xmlns:a16="http://schemas.microsoft.com/office/drawing/2014/main" id="{0E7D1A79-471E-423C-9763-4C0A18184F68}"/>
            </a:ext>
          </a:extLst>
        </xdr:cNvPr>
        <xdr:cNvSpPr/>
      </xdr:nvSpPr>
      <xdr:spPr>
        <a:xfrm>
          <a:off x="8854440" y="2710434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141</xdr:row>
      <xdr:rowOff>15621</xdr:rowOff>
    </xdr:from>
    <xdr:ext cx="114300" cy="114300"/>
    <xdr:pic>
      <xdr:nvPicPr>
        <xdr:cNvPr id="641" name="image1.png">
          <a:extLst>
            <a:ext uri="{FF2B5EF4-FFF2-40B4-BE49-F238E27FC236}">
              <a16:creationId xmlns:a16="http://schemas.microsoft.com/office/drawing/2014/main" id="{C6359495-AD4B-4419-AC32-FA66BF3C0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747048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143</xdr:row>
      <xdr:rowOff>324105</xdr:rowOff>
    </xdr:from>
    <xdr:ext cx="2141855" cy="0"/>
    <xdr:sp macro="" textlink="">
      <xdr:nvSpPr>
        <xdr:cNvPr id="642" name="Shape 107">
          <a:extLst>
            <a:ext uri="{FF2B5EF4-FFF2-40B4-BE49-F238E27FC236}">
              <a16:creationId xmlns:a16="http://schemas.microsoft.com/office/drawing/2014/main" id="{CAF5CEE9-7D1D-4A5C-A4CF-B42F505E48E1}"/>
            </a:ext>
          </a:extLst>
        </xdr:cNvPr>
        <xdr:cNvSpPr/>
      </xdr:nvSpPr>
      <xdr:spPr>
        <a:xfrm>
          <a:off x="1613874" y="2814472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143</xdr:row>
      <xdr:rowOff>323851</xdr:rowOff>
    </xdr:from>
    <xdr:ext cx="828675" cy="0"/>
    <xdr:sp macro="" textlink="">
      <xdr:nvSpPr>
        <xdr:cNvPr id="643" name="Shape 108">
          <a:extLst>
            <a:ext uri="{FF2B5EF4-FFF2-40B4-BE49-F238E27FC236}">
              <a16:creationId xmlns:a16="http://schemas.microsoft.com/office/drawing/2014/main" id="{B417F13C-6E10-4957-968E-A446A286FF50}"/>
            </a:ext>
          </a:extLst>
        </xdr:cNvPr>
        <xdr:cNvSpPr/>
      </xdr:nvSpPr>
      <xdr:spPr>
        <a:xfrm>
          <a:off x="489305" y="281444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143</xdr:row>
      <xdr:rowOff>323851</xdr:rowOff>
    </xdr:from>
    <xdr:ext cx="371475" cy="0"/>
    <xdr:sp macro="" textlink="">
      <xdr:nvSpPr>
        <xdr:cNvPr id="644" name="Shape 109">
          <a:extLst>
            <a:ext uri="{FF2B5EF4-FFF2-40B4-BE49-F238E27FC236}">
              <a16:creationId xmlns:a16="http://schemas.microsoft.com/office/drawing/2014/main" id="{BFEA9996-EE20-4BD4-8154-6E75E7A1AFCD}"/>
            </a:ext>
          </a:extLst>
        </xdr:cNvPr>
        <xdr:cNvSpPr/>
      </xdr:nvSpPr>
      <xdr:spPr>
        <a:xfrm>
          <a:off x="8837421" y="2814447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145</xdr:row>
      <xdr:rowOff>21971</xdr:rowOff>
    </xdr:from>
    <xdr:ext cx="114300" cy="114300"/>
    <xdr:pic>
      <xdr:nvPicPr>
        <xdr:cNvPr id="645" name="image1.png">
          <a:extLst>
            <a:ext uri="{FF2B5EF4-FFF2-40B4-BE49-F238E27FC236}">
              <a16:creationId xmlns:a16="http://schemas.microsoft.com/office/drawing/2014/main" id="{FFC51580-D9CD-42A0-AF82-B836F5B58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83607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3165</xdr:colOff>
      <xdr:row>148</xdr:row>
      <xdr:rowOff>255</xdr:rowOff>
    </xdr:from>
    <xdr:ext cx="2141855" cy="0"/>
    <xdr:sp macro="" textlink="">
      <xdr:nvSpPr>
        <xdr:cNvPr id="646" name="Shape 111">
          <a:extLst>
            <a:ext uri="{FF2B5EF4-FFF2-40B4-BE49-F238E27FC236}">
              <a16:creationId xmlns:a16="http://schemas.microsoft.com/office/drawing/2014/main" id="{577287BE-833A-496C-9F25-9FB2B07FEA41}"/>
            </a:ext>
          </a:extLst>
        </xdr:cNvPr>
        <xdr:cNvSpPr/>
      </xdr:nvSpPr>
      <xdr:spPr>
        <a:xfrm>
          <a:off x="1649085" y="2903245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148</xdr:row>
      <xdr:rowOff>1</xdr:rowOff>
    </xdr:from>
    <xdr:ext cx="828675" cy="0"/>
    <xdr:sp macro="" textlink="">
      <xdr:nvSpPr>
        <xdr:cNvPr id="647" name="Shape 112">
          <a:extLst>
            <a:ext uri="{FF2B5EF4-FFF2-40B4-BE49-F238E27FC236}">
              <a16:creationId xmlns:a16="http://schemas.microsoft.com/office/drawing/2014/main" id="{99FC8564-2B08-45A0-880A-0FAF625770FC}"/>
            </a:ext>
          </a:extLst>
        </xdr:cNvPr>
        <xdr:cNvSpPr/>
      </xdr:nvSpPr>
      <xdr:spPr>
        <a:xfrm>
          <a:off x="550037" y="2903220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148</xdr:row>
      <xdr:rowOff>1</xdr:rowOff>
    </xdr:from>
    <xdr:ext cx="371475" cy="0"/>
    <xdr:sp macro="" textlink="">
      <xdr:nvSpPr>
        <xdr:cNvPr id="648" name="Shape 113">
          <a:extLst>
            <a:ext uri="{FF2B5EF4-FFF2-40B4-BE49-F238E27FC236}">
              <a16:creationId xmlns:a16="http://schemas.microsoft.com/office/drawing/2014/main" id="{2681C0F3-9243-4302-9455-2297C3A5E12A}"/>
            </a:ext>
          </a:extLst>
        </xdr:cNvPr>
        <xdr:cNvSpPr/>
      </xdr:nvSpPr>
      <xdr:spPr>
        <a:xfrm>
          <a:off x="8854440" y="2903220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150</xdr:row>
      <xdr:rowOff>15621</xdr:rowOff>
    </xdr:from>
    <xdr:ext cx="114300" cy="114300"/>
    <xdr:pic>
      <xdr:nvPicPr>
        <xdr:cNvPr id="649" name="image1.png">
          <a:extLst>
            <a:ext uri="{FF2B5EF4-FFF2-40B4-BE49-F238E27FC236}">
              <a16:creationId xmlns:a16="http://schemas.microsoft.com/office/drawing/2014/main" id="{5B291944-1E10-4697-A9E1-17539AB65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2939834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152</xdr:row>
      <xdr:rowOff>324105</xdr:rowOff>
    </xdr:from>
    <xdr:ext cx="2141855" cy="0"/>
    <xdr:sp macro="" textlink="">
      <xdr:nvSpPr>
        <xdr:cNvPr id="650" name="Shape 115">
          <a:extLst>
            <a:ext uri="{FF2B5EF4-FFF2-40B4-BE49-F238E27FC236}">
              <a16:creationId xmlns:a16="http://schemas.microsoft.com/office/drawing/2014/main" id="{98994709-8CCB-4914-B664-7D0C19AE3B1B}"/>
            </a:ext>
          </a:extLst>
        </xdr:cNvPr>
        <xdr:cNvSpPr/>
      </xdr:nvSpPr>
      <xdr:spPr>
        <a:xfrm>
          <a:off x="1613874" y="300725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152</xdr:row>
      <xdr:rowOff>323851</xdr:rowOff>
    </xdr:from>
    <xdr:ext cx="828675" cy="0"/>
    <xdr:sp macro="" textlink="">
      <xdr:nvSpPr>
        <xdr:cNvPr id="651" name="Shape 116">
          <a:extLst>
            <a:ext uri="{FF2B5EF4-FFF2-40B4-BE49-F238E27FC236}">
              <a16:creationId xmlns:a16="http://schemas.microsoft.com/office/drawing/2014/main" id="{19A82FEA-6FBE-4C98-A4D5-B81F875102D5}"/>
            </a:ext>
          </a:extLst>
        </xdr:cNvPr>
        <xdr:cNvSpPr/>
      </xdr:nvSpPr>
      <xdr:spPr>
        <a:xfrm>
          <a:off x="489305" y="30072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761</xdr:colOff>
      <xdr:row>152</xdr:row>
      <xdr:rowOff>323851</xdr:rowOff>
    </xdr:from>
    <xdr:ext cx="828675" cy="0"/>
    <xdr:sp macro="" textlink="">
      <xdr:nvSpPr>
        <xdr:cNvPr id="652" name="Shape 117">
          <a:extLst>
            <a:ext uri="{FF2B5EF4-FFF2-40B4-BE49-F238E27FC236}">
              <a16:creationId xmlns:a16="http://schemas.microsoft.com/office/drawing/2014/main" id="{3BF179FA-C091-4A09-AAA6-965F8AE1453E}"/>
            </a:ext>
          </a:extLst>
        </xdr:cNvPr>
        <xdr:cNvSpPr/>
      </xdr:nvSpPr>
      <xdr:spPr>
        <a:xfrm>
          <a:off x="7742681" y="30072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152</xdr:row>
      <xdr:rowOff>323851</xdr:rowOff>
    </xdr:from>
    <xdr:ext cx="371475" cy="0"/>
    <xdr:sp macro="" textlink="">
      <xdr:nvSpPr>
        <xdr:cNvPr id="653" name="Shape 118">
          <a:extLst>
            <a:ext uri="{FF2B5EF4-FFF2-40B4-BE49-F238E27FC236}">
              <a16:creationId xmlns:a16="http://schemas.microsoft.com/office/drawing/2014/main" id="{BB510579-C493-4D27-831E-4C78D89DC3A9}"/>
            </a:ext>
          </a:extLst>
        </xdr:cNvPr>
        <xdr:cNvSpPr/>
      </xdr:nvSpPr>
      <xdr:spPr>
        <a:xfrm>
          <a:off x="8837421" y="300723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154</xdr:row>
      <xdr:rowOff>2921</xdr:rowOff>
    </xdr:from>
    <xdr:ext cx="828675" cy="0"/>
    <xdr:sp macro="" textlink="">
      <xdr:nvSpPr>
        <xdr:cNvPr id="654" name="Shape 119">
          <a:extLst>
            <a:ext uri="{FF2B5EF4-FFF2-40B4-BE49-F238E27FC236}">
              <a16:creationId xmlns:a16="http://schemas.microsoft.com/office/drawing/2014/main" id="{7B021FE6-1DD6-43B9-A8F6-2DE922F41339}"/>
            </a:ext>
          </a:extLst>
        </xdr:cNvPr>
        <xdr:cNvSpPr/>
      </xdr:nvSpPr>
      <xdr:spPr>
        <a:xfrm>
          <a:off x="7741920" y="302695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124459</xdr:colOff>
      <xdr:row>154</xdr:row>
      <xdr:rowOff>21971</xdr:rowOff>
    </xdr:from>
    <xdr:ext cx="114300" cy="114300"/>
    <xdr:pic>
      <xdr:nvPicPr>
        <xdr:cNvPr id="655" name="image1.png">
          <a:extLst>
            <a:ext uri="{FF2B5EF4-FFF2-40B4-BE49-F238E27FC236}">
              <a16:creationId xmlns:a16="http://schemas.microsoft.com/office/drawing/2014/main" id="{B72315B5-68EF-4138-9BDD-BB029AD43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78899" y="3028861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160</xdr:row>
      <xdr:rowOff>15621</xdr:rowOff>
    </xdr:from>
    <xdr:ext cx="114300" cy="114300"/>
    <xdr:pic>
      <xdr:nvPicPr>
        <xdr:cNvPr id="656" name="image1.png">
          <a:extLst>
            <a:ext uri="{FF2B5EF4-FFF2-40B4-BE49-F238E27FC236}">
              <a16:creationId xmlns:a16="http://schemas.microsoft.com/office/drawing/2014/main" id="{80C003B3-091B-44C4-976A-07E67AAE1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147860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162</xdr:row>
      <xdr:rowOff>324105</xdr:rowOff>
    </xdr:from>
    <xdr:ext cx="2141855" cy="0"/>
    <xdr:sp macro="" textlink="">
      <xdr:nvSpPr>
        <xdr:cNvPr id="657" name="Shape 122">
          <a:extLst>
            <a:ext uri="{FF2B5EF4-FFF2-40B4-BE49-F238E27FC236}">
              <a16:creationId xmlns:a16="http://schemas.microsoft.com/office/drawing/2014/main" id="{AC512A28-BD3C-43BE-9FB3-590C9AF48BE0}"/>
            </a:ext>
          </a:extLst>
        </xdr:cNvPr>
        <xdr:cNvSpPr/>
      </xdr:nvSpPr>
      <xdr:spPr>
        <a:xfrm>
          <a:off x="1613874" y="3215284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162</xdr:row>
      <xdr:rowOff>323851</xdr:rowOff>
    </xdr:from>
    <xdr:ext cx="828675" cy="0"/>
    <xdr:sp macro="" textlink="">
      <xdr:nvSpPr>
        <xdr:cNvPr id="658" name="Shape 123">
          <a:extLst>
            <a:ext uri="{FF2B5EF4-FFF2-40B4-BE49-F238E27FC236}">
              <a16:creationId xmlns:a16="http://schemas.microsoft.com/office/drawing/2014/main" id="{88F7D6BE-E9E3-41FE-AAC2-7D081451A591}"/>
            </a:ext>
          </a:extLst>
        </xdr:cNvPr>
        <xdr:cNvSpPr/>
      </xdr:nvSpPr>
      <xdr:spPr>
        <a:xfrm>
          <a:off x="489305" y="3215259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162</xdr:row>
      <xdr:rowOff>323851</xdr:rowOff>
    </xdr:from>
    <xdr:ext cx="371475" cy="0"/>
    <xdr:sp macro="" textlink="">
      <xdr:nvSpPr>
        <xdr:cNvPr id="659" name="Shape 124">
          <a:extLst>
            <a:ext uri="{FF2B5EF4-FFF2-40B4-BE49-F238E27FC236}">
              <a16:creationId xmlns:a16="http://schemas.microsoft.com/office/drawing/2014/main" id="{8F662209-C7BC-4049-9A79-C334B8661F87}"/>
            </a:ext>
          </a:extLst>
        </xdr:cNvPr>
        <xdr:cNvSpPr/>
      </xdr:nvSpPr>
      <xdr:spPr>
        <a:xfrm>
          <a:off x="8837421" y="3215259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166</xdr:row>
      <xdr:rowOff>21971</xdr:rowOff>
    </xdr:from>
    <xdr:ext cx="114300" cy="114300"/>
    <xdr:pic>
      <xdr:nvPicPr>
        <xdr:cNvPr id="660" name="image1.png">
          <a:extLst>
            <a:ext uri="{FF2B5EF4-FFF2-40B4-BE49-F238E27FC236}">
              <a16:creationId xmlns:a16="http://schemas.microsoft.com/office/drawing/2014/main" id="{10522FBB-F2FF-4F1A-8498-CC958E8FA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266605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169</xdr:row>
      <xdr:rowOff>255</xdr:rowOff>
    </xdr:from>
    <xdr:ext cx="2141855" cy="0"/>
    <xdr:sp macro="" textlink="">
      <xdr:nvSpPr>
        <xdr:cNvPr id="661" name="Shape 126">
          <a:extLst>
            <a:ext uri="{FF2B5EF4-FFF2-40B4-BE49-F238E27FC236}">
              <a16:creationId xmlns:a16="http://schemas.microsoft.com/office/drawing/2014/main" id="{E5F5F960-98E7-446A-B8DB-CE22AC995608}"/>
            </a:ext>
          </a:extLst>
        </xdr:cNvPr>
        <xdr:cNvSpPr/>
      </xdr:nvSpPr>
      <xdr:spPr>
        <a:xfrm>
          <a:off x="1650745" y="3333775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169</xdr:row>
      <xdr:rowOff>1</xdr:rowOff>
    </xdr:from>
    <xdr:ext cx="828675" cy="0"/>
    <xdr:sp macro="" textlink="">
      <xdr:nvSpPr>
        <xdr:cNvPr id="662" name="Shape 127">
          <a:extLst>
            <a:ext uri="{FF2B5EF4-FFF2-40B4-BE49-F238E27FC236}">
              <a16:creationId xmlns:a16="http://schemas.microsoft.com/office/drawing/2014/main" id="{76DE1C11-13D5-4E5C-AAFC-2D2D7D17B6B8}"/>
            </a:ext>
          </a:extLst>
        </xdr:cNvPr>
        <xdr:cNvSpPr/>
      </xdr:nvSpPr>
      <xdr:spPr>
        <a:xfrm>
          <a:off x="550037" y="3333750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169</xdr:row>
      <xdr:rowOff>1</xdr:rowOff>
    </xdr:from>
    <xdr:ext cx="371475" cy="0"/>
    <xdr:sp macro="" textlink="">
      <xdr:nvSpPr>
        <xdr:cNvPr id="663" name="Shape 128">
          <a:extLst>
            <a:ext uri="{FF2B5EF4-FFF2-40B4-BE49-F238E27FC236}">
              <a16:creationId xmlns:a16="http://schemas.microsoft.com/office/drawing/2014/main" id="{303F9001-075B-47BB-9333-83633B0FEFE6}"/>
            </a:ext>
          </a:extLst>
        </xdr:cNvPr>
        <xdr:cNvSpPr/>
      </xdr:nvSpPr>
      <xdr:spPr>
        <a:xfrm>
          <a:off x="8854440" y="3333750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171</xdr:row>
      <xdr:rowOff>15621</xdr:rowOff>
    </xdr:from>
    <xdr:ext cx="114300" cy="114300"/>
    <xdr:pic>
      <xdr:nvPicPr>
        <xdr:cNvPr id="664" name="image1.png">
          <a:extLst>
            <a:ext uri="{FF2B5EF4-FFF2-40B4-BE49-F238E27FC236}">
              <a16:creationId xmlns:a16="http://schemas.microsoft.com/office/drawing/2014/main" id="{2029B113-3140-4ACE-84A6-66F69A651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370364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180</xdr:row>
      <xdr:rowOff>21971</xdr:rowOff>
    </xdr:from>
    <xdr:ext cx="114300" cy="114300"/>
    <xdr:pic>
      <xdr:nvPicPr>
        <xdr:cNvPr id="665" name="image1.png">
          <a:extLst>
            <a:ext uri="{FF2B5EF4-FFF2-40B4-BE49-F238E27FC236}">
              <a16:creationId xmlns:a16="http://schemas.microsoft.com/office/drawing/2014/main" id="{0FE35B8B-0A09-49BE-9907-7CB1218E9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51501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183</xdr:row>
      <xdr:rowOff>254</xdr:rowOff>
    </xdr:from>
    <xdr:ext cx="2141855" cy="0"/>
    <xdr:sp macro="" textlink="">
      <xdr:nvSpPr>
        <xdr:cNvPr id="666" name="Shape 131">
          <a:extLst>
            <a:ext uri="{FF2B5EF4-FFF2-40B4-BE49-F238E27FC236}">
              <a16:creationId xmlns:a16="http://schemas.microsoft.com/office/drawing/2014/main" id="{302872AB-056E-435E-BC4A-8FB19D8FBF6B}"/>
            </a:ext>
          </a:extLst>
        </xdr:cNvPr>
        <xdr:cNvSpPr/>
      </xdr:nvSpPr>
      <xdr:spPr>
        <a:xfrm>
          <a:off x="1650745" y="3582187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183</xdr:row>
      <xdr:rowOff>0</xdr:rowOff>
    </xdr:from>
    <xdr:ext cx="828675" cy="0"/>
    <xdr:sp macro="" textlink="">
      <xdr:nvSpPr>
        <xdr:cNvPr id="667" name="Shape 132">
          <a:extLst>
            <a:ext uri="{FF2B5EF4-FFF2-40B4-BE49-F238E27FC236}">
              <a16:creationId xmlns:a16="http://schemas.microsoft.com/office/drawing/2014/main" id="{DC3BF22F-FEC7-4416-A2EC-1E0A5FE44A75}"/>
            </a:ext>
          </a:extLst>
        </xdr:cNvPr>
        <xdr:cNvSpPr/>
      </xdr:nvSpPr>
      <xdr:spPr>
        <a:xfrm>
          <a:off x="550037" y="35821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183</xdr:row>
      <xdr:rowOff>0</xdr:rowOff>
    </xdr:from>
    <xdr:ext cx="371475" cy="0"/>
    <xdr:sp macro="" textlink="">
      <xdr:nvSpPr>
        <xdr:cNvPr id="668" name="Shape 133">
          <a:extLst>
            <a:ext uri="{FF2B5EF4-FFF2-40B4-BE49-F238E27FC236}">
              <a16:creationId xmlns:a16="http://schemas.microsoft.com/office/drawing/2014/main" id="{FBE65D60-2F94-4C37-8415-C298A50E7BFB}"/>
            </a:ext>
          </a:extLst>
        </xdr:cNvPr>
        <xdr:cNvSpPr/>
      </xdr:nvSpPr>
      <xdr:spPr>
        <a:xfrm>
          <a:off x="8854440" y="35821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184</xdr:row>
      <xdr:rowOff>15621</xdr:rowOff>
    </xdr:from>
    <xdr:ext cx="114300" cy="114300"/>
    <xdr:pic>
      <xdr:nvPicPr>
        <xdr:cNvPr id="669" name="image1.png">
          <a:extLst>
            <a:ext uri="{FF2B5EF4-FFF2-40B4-BE49-F238E27FC236}">
              <a16:creationId xmlns:a16="http://schemas.microsoft.com/office/drawing/2014/main" id="{946D68D9-0C4E-4D05-A6F1-B43CB35B5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603536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186</xdr:row>
      <xdr:rowOff>324104</xdr:rowOff>
    </xdr:from>
    <xdr:ext cx="2141855" cy="0"/>
    <xdr:sp macro="" textlink="">
      <xdr:nvSpPr>
        <xdr:cNvPr id="670" name="Shape 135">
          <a:extLst>
            <a:ext uri="{FF2B5EF4-FFF2-40B4-BE49-F238E27FC236}">
              <a16:creationId xmlns:a16="http://schemas.microsoft.com/office/drawing/2014/main" id="{79BB1D69-5F4F-47D2-B3BA-87E30D2A1A40}"/>
            </a:ext>
          </a:extLst>
        </xdr:cNvPr>
        <xdr:cNvSpPr/>
      </xdr:nvSpPr>
      <xdr:spPr>
        <a:xfrm>
          <a:off x="1613874" y="3670960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186</xdr:row>
      <xdr:rowOff>323850</xdr:rowOff>
    </xdr:from>
    <xdr:ext cx="828675" cy="0"/>
    <xdr:sp macro="" textlink="">
      <xdr:nvSpPr>
        <xdr:cNvPr id="671" name="Shape 136">
          <a:extLst>
            <a:ext uri="{FF2B5EF4-FFF2-40B4-BE49-F238E27FC236}">
              <a16:creationId xmlns:a16="http://schemas.microsoft.com/office/drawing/2014/main" id="{3F7756A8-EF42-4FA4-8386-DEE282011A49}"/>
            </a:ext>
          </a:extLst>
        </xdr:cNvPr>
        <xdr:cNvSpPr/>
      </xdr:nvSpPr>
      <xdr:spPr>
        <a:xfrm>
          <a:off x="489305" y="3670935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186</xdr:row>
      <xdr:rowOff>323850</xdr:rowOff>
    </xdr:from>
    <xdr:ext cx="371475" cy="0"/>
    <xdr:sp macro="" textlink="">
      <xdr:nvSpPr>
        <xdr:cNvPr id="672" name="Shape 137">
          <a:extLst>
            <a:ext uri="{FF2B5EF4-FFF2-40B4-BE49-F238E27FC236}">
              <a16:creationId xmlns:a16="http://schemas.microsoft.com/office/drawing/2014/main" id="{1C96CADD-A125-47DC-8636-6446B3FF233E}"/>
            </a:ext>
          </a:extLst>
        </xdr:cNvPr>
        <xdr:cNvSpPr/>
      </xdr:nvSpPr>
      <xdr:spPr>
        <a:xfrm>
          <a:off x="8837421" y="3670935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188</xdr:row>
      <xdr:rowOff>21971</xdr:rowOff>
    </xdr:from>
    <xdr:ext cx="114300" cy="114300"/>
    <xdr:pic>
      <xdr:nvPicPr>
        <xdr:cNvPr id="673" name="image1.png">
          <a:extLst>
            <a:ext uri="{FF2B5EF4-FFF2-40B4-BE49-F238E27FC236}">
              <a16:creationId xmlns:a16="http://schemas.microsoft.com/office/drawing/2014/main" id="{638B06F4-2DDD-4E77-B46A-E0BA2CB25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69256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191</xdr:row>
      <xdr:rowOff>254</xdr:rowOff>
    </xdr:from>
    <xdr:ext cx="2141855" cy="0"/>
    <xdr:sp macro="" textlink="">
      <xdr:nvSpPr>
        <xdr:cNvPr id="674" name="Shape 139">
          <a:extLst>
            <a:ext uri="{FF2B5EF4-FFF2-40B4-BE49-F238E27FC236}">
              <a16:creationId xmlns:a16="http://schemas.microsoft.com/office/drawing/2014/main" id="{70BF4D4D-E10B-4ED0-AD5B-49AA677CA551}"/>
            </a:ext>
          </a:extLst>
        </xdr:cNvPr>
        <xdr:cNvSpPr/>
      </xdr:nvSpPr>
      <xdr:spPr>
        <a:xfrm>
          <a:off x="1645920" y="3759733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191</xdr:row>
      <xdr:rowOff>0</xdr:rowOff>
    </xdr:from>
    <xdr:ext cx="828675" cy="0"/>
    <xdr:sp macro="" textlink="">
      <xdr:nvSpPr>
        <xdr:cNvPr id="675" name="Shape 140">
          <a:extLst>
            <a:ext uri="{FF2B5EF4-FFF2-40B4-BE49-F238E27FC236}">
              <a16:creationId xmlns:a16="http://schemas.microsoft.com/office/drawing/2014/main" id="{4D79A4EA-933B-4CFD-A775-6FEE77FEA62D}"/>
            </a:ext>
          </a:extLst>
        </xdr:cNvPr>
        <xdr:cNvSpPr/>
      </xdr:nvSpPr>
      <xdr:spPr>
        <a:xfrm>
          <a:off x="550037" y="375970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191</xdr:row>
      <xdr:rowOff>0</xdr:rowOff>
    </xdr:from>
    <xdr:ext cx="371475" cy="0"/>
    <xdr:sp macro="" textlink="">
      <xdr:nvSpPr>
        <xdr:cNvPr id="676" name="Shape 141">
          <a:extLst>
            <a:ext uri="{FF2B5EF4-FFF2-40B4-BE49-F238E27FC236}">
              <a16:creationId xmlns:a16="http://schemas.microsoft.com/office/drawing/2014/main" id="{51CB410F-5E0A-4A9A-BCFF-5A57C30C829E}"/>
            </a:ext>
          </a:extLst>
        </xdr:cNvPr>
        <xdr:cNvSpPr/>
      </xdr:nvSpPr>
      <xdr:spPr>
        <a:xfrm>
          <a:off x="8854440" y="375970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193</xdr:row>
      <xdr:rowOff>15621</xdr:rowOff>
    </xdr:from>
    <xdr:ext cx="114300" cy="114300"/>
    <xdr:pic>
      <xdr:nvPicPr>
        <xdr:cNvPr id="677" name="image1.png">
          <a:extLst>
            <a:ext uri="{FF2B5EF4-FFF2-40B4-BE49-F238E27FC236}">
              <a16:creationId xmlns:a16="http://schemas.microsoft.com/office/drawing/2014/main" id="{C27130C3-4268-4F5A-952F-E70D24A1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7963221"/>
          <a:ext cx="114300" cy="114300"/>
        </a:xfrm>
        <a:prstGeom prst="rect">
          <a:avLst/>
        </a:prstGeom>
      </xdr:spPr>
    </xdr:pic>
    <xdr:clientData/>
  </xdr:oneCellAnchor>
  <xdr:oneCellAnchor>
    <xdr:from>
      <xdr:col>1</xdr:col>
      <xdr:colOff>169265</xdr:colOff>
      <xdr:row>195</xdr:row>
      <xdr:rowOff>323850</xdr:rowOff>
    </xdr:from>
    <xdr:ext cx="828675" cy="0"/>
    <xdr:sp macro="" textlink="">
      <xdr:nvSpPr>
        <xdr:cNvPr id="678" name="Shape 143">
          <a:extLst>
            <a:ext uri="{FF2B5EF4-FFF2-40B4-BE49-F238E27FC236}">
              <a16:creationId xmlns:a16="http://schemas.microsoft.com/office/drawing/2014/main" id="{4A492892-9B6B-4CE2-AF2C-7646DE65B7CC}"/>
            </a:ext>
          </a:extLst>
        </xdr:cNvPr>
        <xdr:cNvSpPr/>
      </xdr:nvSpPr>
      <xdr:spPr>
        <a:xfrm>
          <a:off x="489305" y="386372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195</xdr:row>
      <xdr:rowOff>323850</xdr:rowOff>
    </xdr:from>
    <xdr:ext cx="371475" cy="0"/>
    <xdr:sp macro="" textlink="">
      <xdr:nvSpPr>
        <xdr:cNvPr id="679" name="Shape 144">
          <a:extLst>
            <a:ext uri="{FF2B5EF4-FFF2-40B4-BE49-F238E27FC236}">
              <a16:creationId xmlns:a16="http://schemas.microsoft.com/office/drawing/2014/main" id="{0D06B912-11D7-451F-BD90-F3C062346C35}"/>
            </a:ext>
          </a:extLst>
        </xdr:cNvPr>
        <xdr:cNvSpPr/>
      </xdr:nvSpPr>
      <xdr:spPr>
        <a:xfrm>
          <a:off x="8837421" y="3863721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197</xdr:row>
      <xdr:rowOff>21971</xdr:rowOff>
    </xdr:from>
    <xdr:ext cx="114300" cy="114300"/>
    <xdr:pic>
      <xdr:nvPicPr>
        <xdr:cNvPr id="680" name="image1.png">
          <a:extLst>
            <a:ext uri="{FF2B5EF4-FFF2-40B4-BE49-F238E27FC236}">
              <a16:creationId xmlns:a16="http://schemas.microsoft.com/office/drawing/2014/main" id="{F2106033-B381-4459-9165-04AAAFAA47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8853491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200</xdr:row>
      <xdr:rowOff>0</xdr:rowOff>
    </xdr:from>
    <xdr:ext cx="828675" cy="0"/>
    <xdr:sp macro="" textlink="">
      <xdr:nvSpPr>
        <xdr:cNvPr id="681" name="Shape 146">
          <a:extLst>
            <a:ext uri="{FF2B5EF4-FFF2-40B4-BE49-F238E27FC236}">
              <a16:creationId xmlns:a16="http://schemas.microsoft.com/office/drawing/2014/main" id="{23F69CA6-2C4C-4FD7-BB30-2E09F4EB6C71}"/>
            </a:ext>
          </a:extLst>
        </xdr:cNvPr>
        <xdr:cNvSpPr/>
      </xdr:nvSpPr>
      <xdr:spPr>
        <a:xfrm>
          <a:off x="550037" y="395249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200</xdr:row>
      <xdr:rowOff>0</xdr:rowOff>
    </xdr:from>
    <xdr:ext cx="371475" cy="0"/>
    <xdr:sp macro="" textlink="">
      <xdr:nvSpPr>
        <xdr:cNvPr id="682" name="Shape 147">
          <a:extLst>
            <a:ext uri="{FF2B5EF4-FFF2-40B4-BE49-F238E27FC236}">
              <a16:creationId xmlns:a16="http://schemas.microsoft.com/office/drawing/2014/main" id="{A8B28BC5-528E-41FF-B110-56E3EE707408}"/>
            </a:ext>
          </a:extLst>
        </xdr:cNvPr>
        <xdr:cNvSpPr/>
      </xdr:nvSpPr>
      <xdr:spPr>
        <a:xfrm>
          <a:off x="8854440" y="3952494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202</xdr:row>
      <xdr:rowOff>15621</xdr:rowOff>
    </xdr:from>
    <xdr:ext cx="114300" cy="114300"/>
    <xdr:pic>
      <xdr:nvPicPr>
        <xdr:cNvPr id="683" name="image1.png">
          <a:extLst>
            <a:ext uri="{FF2B5EF4-FFF2-40B4-BE49-F238E27FC236}">
              <a16:creationId xmlns:a16="http://schemas.microsoft.com/office/drawing/2014/main" id="{BD811F83-5D71-4AED-BC05-EC7C284A9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39891081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204</xdr:row>
      <xdr:rowOff>324104</xdr:rowOff>
    </xdr:from>
    <xdr:ext cx="2141855" cy="0"/>
    <xdr:sp macro="" textlink="">
      <xdr:nvSpPr>
        <xdr:cNvPr id="684" name="Shape 149">
          <a:extLst>
            <a:ext uri="{FF2B5EF4-FFF2-40B4-BE49-F238E27FC236}">
              <a16:creationId xmlns:a16="http://schemas.microsoft.com/office/drawing/2014/main" id="{30535234-1A0C-4F0F-AF4F-ECB655FCCE2E}"/>
            </a:ext>
          </a:extLst>
        </xdr:cNvPr>
        <xdr:cNvSpPr/>
      </xdr:nvSpPr>
      <xdr:spPr>
        <a:xfrm>
          <a:off x="1613874" y="405653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204</xdr:row>
      <xdr:rowOff>323850</xdr:rowOff>
    </xdr:from>
    <xdr:ext cx="828675" cy="0"/>
    <xdr:sp macro="" textlink="">
      <xdr:nvSpPr>
        <xdr:cNvPr id="685" name="Shape 150">
          <a:extLst>
            <a:ext uri="{FF2B5EF4-FFF2-40B4-BE49-F238E27FC236}">
              <a16:creationId xmlns:a16="http://schemas.microsoft.com/office/drawing/2014/main" id="{7CE08917-1AFC-452F-8D87-83D67FB99B09}"/>
            </a:ext>
          </a:extLst>
        </xdr:cNvPr>
        <xdr:cNvSpPr/>
      </xdr:nvSpPr>
      <xdr:spPr>
        <a:xfrm>
          <a:off x="489305" y="405650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204</xdr:row>
      <xdr:rowOff>323850</xdr:rowOff>
    </xdr:from>
    <xdr:ext cx="371475" cy="0"/>
    <xdr:sp macro="" textlink="">
      <xdr:nvSpPr>
        <xdr:cNvPr id="686" name="Shape 151">
          <a:extLst>
            <a:ext uri="{FF2B5EF4-FFF2-40B4-BE49-F238E27FC236}">
              <a16:creationId xmlns:a16="http://schemas.microsoft.com/office/drawing/2014/main" id="{956D9D2E-8C2D-4AB9-914C-982A227F658E}"/>
            </a:ext>
          </a:extLst>
        </xdr:cNvPr>
        <xdr:cNvSpPr/>
      </xdr:nvSpPr>
      <xdr:spPr>
        <a:xfrm>
          <a:off x="8837421" y="405650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208</xdr:row>
      <xdr:rowOff>21971</xdr:rowOff>
    </xdr:from>
    <xdr:ext cx="114300" cy="114300"/>
    <xdr:pic>
      <xdr:nvPicPr>
        <xdr:cNvPr id="687" name="image1.png">
          <a:extLst>
            <a:ext uri="{FF2B5EF4-FFF2-40B4-BE49-F238E27FC236}">
              <a16:creationId xmlns:a16="http://schemas.microsoft.com/office/drawing/2014/main" id="{6CBC0F25-D363-4A28-BA9F-7B007740B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0785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211</xdr:row>
      <xdr:rowOff>254</xdr:rowOff>
    </xdr:from>
    <xdr:ext cx="2141855" cy="0"/>
    <xdr:sp macro="" textlink="">
      <xdr:nvSpPr>
        <xdr:cNvPr id="688" name="Shape 153">
          <a:extLst>
            <a:ext uri="{FF2B5EF4-FFF2-40B4-BE49-F238E27FC236}">
              <a16:creationId xmlns:a16="http://schemas.microsoft.com/office/drawing/2014/main" id="{D49D9219-5118-455C-B7F0-AC79EF8BBA81}"/>
            </a:ext>
          </a:extLst>
        </xdr:cNvPr>
        <xdr:cNvSpPr/>
      </xdr:nvSpPr>
      <xdr:spPr>
        <a:xfrm>
          <a:off x="1650745" y="4175023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211</xdr:row>
      <xdr:rowOff>0</xdr:rowOff>
    </xdr:from>
    <xdr:ext cx="828675" cy="0"/>
    <xdr:sp macro="" textlink="">
      <xdr:nvSpPr>
        <xdr:cNvPr id="689" name="Shape 154">
          <a:extLst>
            <a:ext uri="{FF2B5EF4-FFF2-40B4-BE49-F238E27FC236}">
              <a16:creationId xmlns:a16="http://schemas.microsoft.com/office/drawing/2014/main" id="{CF815EF9-926D-4D9F-880C-DA500ED96F62}"/>
            </a:ext>
          </a:extLst>
        </xdr:cNvPr>
        <xdr:cNvSpPr/>
      </xdr:nvSpPr>
      <xdr:spPr>
        <a:xfrm>
          <a:off x="550037" y="417499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211</xdr:row>
      <xdr:rowOff>0</xdr:rowOff>
    </xdr:from>
    <xdr:ext cx="371475" cy="0"/>
    <xdr:sp macro="" textlink="">
      <xdr:nvSpPr>
        <xdr:cNvPr id="690" name="Shape 155">
          <a:extLst>
            <a:ext uri="{FF2B5EF4-FFF2-40B4-BE49-F238E27FC236}">
              <a16:creationId xmlns:a16="http://schemas.microsoft.com/office/drawing/2014/main" id="{78881A24-D5CD-4585-816D-3E92A1888BCA}"/>
            </a:ext>
          </a:extLst>
        </xdr:cNvPr>
        <xdr:cNvSpPr/>
      </xdr:nvSpPr>
      <xdr:spPr>
        <a:xfrm>
          <a:off x="8854440" y="4174998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212</xdr:row>
      <xdr:rowOff>15621</xdr:rowOff>
    </xdr:from>
    <xdr:ext cx="114300" cy="114300"/>
    <xdr:pic>
      <xdr:nvPicPr>
        <xdr:cNvPr id="691" name="image1.png">
          <a:extLst>
            <a:ext uri="{FF2B5EF4-FFF2-40B4-BE49-F238E27FC236}">
              <a16:creationId xmlns:a16="http://schemas.microsoft.com/office/drawing/2014/main" id="{DEC738E4-AB21-4600-AE28-83331CF4F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1963721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215</xdr:row>
      <xdr:rowOff>260350</xdr:rowOff>
    </xdr:from>
    <xdr:ext cx="828675" cy="0"/>
    <xdr:sp macro="" textlink="">
      <xdr:nvSpPr>
        <xdr:cNvPr id="692" name="Shape 157">
          <a:extLst>
            <a:ext uri="{FF2B5EF4-FFF2-40B4-BE49-F238E27FC236}">
              <a16:creationId xmlns:a16="http://schemas.microsoft.com/office/drawing/2014/main" id="{BEAE06AD-7E73-40E8-9E09-2F6ADCEAAB1A}"/>
            </a:ext>
          </a:extLst>
        </xdr:cNvPr>
        <xdr:cNvSpPr/>
      </xdr:nvSpPr>
      <xdr:spPr>
        <a:xfrm>
          <a:off x="551688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215</xdr:row>
      <xdr:rowOff>260604</xdr:rowOff>
    </xdr:from>
    <xdr:ext cx="2141855" cy="0"/>
    <xdr:sp macro="" textlink="">
      <xdr:nvSpPr>
        <xdr:cNvPr id="693" name="Shape 158">
          <a:extLst>
            <a:ext uri="{FF2B5EF4-FFF2-40B4-BE49-F238E27FC236}">
              <a16:creationId xmlns:a16="http://schemas.microsoft.com/office/drawing/2014/main" id="{CAD3F442-E43A-4A81-BDB4-CF4F5DC2BD66}"/>
            </a:ext>
          </a:extLst>
        </xdr:cNvPr>
        <xdr:cNvSpPr/>
      </xdr:nvSpPr>
      <xdr:spPr>
        <a:xfrm>
          <a:off x="1645920" y="425592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215</xdr:row>
      <xdr:rowOff>260350</xdr:rowOff>
    </xdr:from>
    <xdr:ext cx="828675" cy="0"/>
    <xdr:sp macro="" textlink="">
      <xdr:nvSpPr>
        <xdr:cNvPr id="694" name="Shape 159">
          <a:extLst>
            <a:ext uri="{FF2B5EF4-FFF2-40B4-BE49-F238E27FC236}">
              <a16:creationId xmlns:a16="http://schemas.microsoft.com/office/drawing/2014/main" id="{BF87D1D7-D149-4F8E-888E-55CD2D699EDE}"/>
            </a:ext>
          </a:extLst>
        </xdr:cNvPr>
        <xdr:cNvSpPr/>
      </xdr:nvSpPr>
      <xdr:spPr>
        <a:xfrm>
          <a:off x="550037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215</xdr:row>
      <xdr:rowOff>260350</xdr:rowOff>
    </xdr:from>
    <xdr:ext cx="828675" cy="0"/>
    <xdr:sp macro="" textlink="">
      <xdr:nvSpPr>
        <xdr:cNvPr id="695" name="Shape 160">
          <a:extLst>
            <a:ext uri="{FF2B5EF4-FFF2-40B4-BE49-F238E27FC236}">
              <a16:creationId xmlns:a16="http://schemas.microsoft.com/office/drawing/2014/main" id="{0B9B32C7-110C-42E9-80AB-A4A2F499F478}"/>
            </a:ext>
          </a:extLst>
        </xdr:cNvPr>
        <xdr:cNvSpPr/>
      </xdr:nvSpPr>
      <xdr:spPr>
        <a:xfrm>
          <a:off x="774192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215</xdr:row>
      <xdr:rowOff>260350</xdr:rowOff>
    </xdr:from>
    <xdr:ext cx="828675" cy="0"/>
    <xdr:sp macro="" textlink="">
      <xdr:nvSpPr>
        <xdr:cNvPr id="696" name="Shape 161">
          <a:extLst>
            <a:ext uri="{FF2B5EF4-FFF2-40B4-BE49-F238E27FC236}">
              <a16:creationId xmlns:a16="http://schemas.microsoft.com/office/drawing/2014/main" id="{CA09C22D-F57F-4A5A-ADAE-72B9C98BCA47}"/>
            </a:ext>
          </a:extLst>
        </xdr:cNvPr>
        <xdr:cNvSpPr/>
      </xdr:nvSpPr>
      <xdr:spPr>
        <a:xfrm>
          <a:off x="4419663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215</xdr:row>
      <xdr:rowOff>260350</xdr:rowOff>
    </xdr:from>
    <xdr:ext cx="828675" cy="0"/>
    <xdr:sp macro="" textlink="">
      <xdr:nvSpPr>
        <xdr:cNvPr id="697" name="Shape 162">
          <a:extLst>
            <a:ext uri="{FF2B5EF4-FFF2-40B4-BE49-F238E27FC236}">
              <a16:creationId xmlns:a16="http://schemas.microsoft.com/office/drawing/2014/main" id="{A4CB58A0-A74D-45B3-9510-47D72E9F5445}"/>
            </a:ext>
          </a:extLst>
        </xdr:cNvPr>
        <xdr:cNvSpPr/>
      </xdr:nvSpPr>
      <xdr:spPr>
        <a:xfrm>
          <a:off x="6629400" y="425589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215</xdr:row>
      <xdr:rowOff>260350</xdr:rowOff>
    </xdr:from>
    <xdr:ext cx="371475" cy="0"/>
    <xdr:sp macro="" textlink="">
      <xdr:nvSpPr>
        <xdr:cNvPr id="698" name="Shape 163">
          <a:extLst>
            <a:ext uri="{FF2B5EF4-FFF2-40B4-BE49-F238E27FC236}">
              <a16:creationId xmlns:a16="http://schemas.microsoft.com/office/drawing/2014/main" id="{3D3A85B3-1893-4B79-AB93-0E09EB3F8331}"/>
            </a:ext>
          </a:extLst>
        </xdr:cNvPr>
        <xdr:cNvSpPr/>
      </xdr:nvSpPr>
      <xdr:spPr>
        <a:xfrm>
          <a:off x="8854440" y="425589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216</xdr:row>
      <xdr:rowOff>21970</xdr:rowOff>
    </xdr:from>
    <xdr:ext cx="114300" cy="114300"/>
    <xdr:pic>
      <xdr:nvPicPr>
        <xdr:cNvPr id="699" name="image1.png">
          <a:extLst>
            <a:ext uri="{FF2B5EF4-FFF2-40B4-BE49-F238E27FC236}">
              <a16:creationId xmlns:a16="http://schemas.microsoft.com/office/drawing/2014/main" id="{ECF8DB90-2FDB-4BCB-9F1B-1242E865B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277017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219</xdr:row>
      <xdr:rowOff>254</xdr:rowOff>
    </xdr:from>
    <xdr:ext cx="2141855" cy="0"/>
    <xdr:sp macro="" textlink="">
      <xdr:nvSpPr>
        <xdr:cNvPr id="700" name="Shape 165">
          <a:extLst>
            <a:ext uri="{FF2B5EF4-FFF2-40B4-BE49-F238E27FC236}">
              <a16:creationId xmlns:a16="http://schemas.microsoft.com/office/drawing/2014/main" id="{89CB4E06-5270-4E6D-AB81-352FB77308B2}"/>
            </a:ext>
          </a:extLst>
        </xdr:cNvPr>
        <xdr:cNvSpPr/>
      </xdr:nvSpPr>
      <xdr:spPr>
        <a:xfrm>
          <a:off x="1668834" y="4344187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219</xdr:row>
      <xdr:rowOff>0</xdr:rowOff>
    </xdr:from>
    <xdr:ext cx="828675" cy="0"/>
    <xdr:sp macro="" textlink="">
      <xdr:nvSpPr>
        <xdr:cNvPr id="701" name="Shape 166">
          <a:extLst>
            <a:ext uri="{FF2B5EF4-FFF2-40B4-BE49-F238E27FC236}">
              <a16:creationId xmlns:a16="http://schemas.microsoft.com/office/drawing/2014/main" id="{56011D41-E245-4B69-8C29-A2F3EDDFD4A9}"/>
            </a:ext>
          </a:extLst>
        </xdr:cNvPr>
        <xdr:cNvSpPr/>
      </xdr:nvSpPr>
      <xdr:spPr>
        <a:xfrm>
          <a:off x="548640" y="434416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219</xdr:row>
      <xdr:rowOff>0</xdr:rowOff>
    </xdr:from>
    <xdr:ext cx="371475" cy="0"/>
    <xdr:sp macro="" textlink="">
      <xdr:nvSpPr>
        <xdr:cNvPr id="702" name="Shape 167">
          <a:extLst>
            <a:ext uri="{FF2B5EF4-FFF2-40B4-BE49-F238E27FC236}">
              <a16:creationId xmlns:a16="http://schemas.microsoft.com/office/drawing/2014/main" id="{CA5C7B6E-F1BC-48B1-8833-73A6629874DD}"/>
            </a:ext>
          </a:extLst>
        </xdr:cNvPr>
        <xdr:cNvSpPr/>
      </xdr:nvSpPr>
      <xdr:spPr>
        <a:xfrm>
          <a:off x="8854440" y="4344162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221</xdr:row>
      <xdr:rowOff>15620</xdr:rowOff>
    </xdr:from>
    <xdr:ext cx="114300" cy="114300"/>
    <xdr:pic>
      <xdr:nvPicPr>
        <xdr:cNvPr id="703" name="image1.png">
          <a:extLst>
            <a:ext uri="{FF2B5EF4-FFF2-40B4-BE49-F238E27FC236}">
              <a16:creationId xmlns:a16="http://schemas.microsoft.com/office/drawing/2014/main" id="{E73B78F9-D3DE-4C30-90AE-CE1CE53B7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380776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224</xdr:row>
      <xdr:rowOff>6604</xdr:rowOff>
    </xdr:from>
    <xdr:ext cx="2141855" cy="0"/>
    <xdr:sp macro="" textlink="">
      <xdr:nvSpPr>
        <xdr:cNvPr id="704" name="Shape 169">
          <a:extLst>
            <a:ext uri="{FF2B5EF4-FFF2-40B4-BE49-F238E27FC236}">
              <a16:creationId xmlns:a16="http://schemas.microsoft.com/office/drawing/2014/main" id="{8C8F192B-E3BF-4B72-B030-10556CA4E412}"/>
            </a:ext>
          </a:extLst>
        </xdr:cNvPr>
        <xdr:cNvSpPr/>
      </xdr:nvSpPr>
      <xdr:spPr>
        <a:xfrm>
          <a:off x="1650745" y="4447692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224</xdr:row>
      <xdr:rowOff>6350</xdr:rowOff>
    </xdr:from>
    <xdr:ext cx="828675" cy="0"/>
    <xdr:sp macro="" textlink="">
      <xdr:nvSpPr>
        <xdr:cNvPr id="705" name="Shape 170">
          <a:extLst>
            <a:ext uri="{FF2B5EF4-FFF2-40B4-BE49-F238E27FC236}">
              <a16:creationId xmlns:a16="http://schemas.microsoft.com/office/drawing/2014/main" id="{FCDCE1FF-9748-4A25-843B-AC5027C1B72F}"/>
            </a:ext>
          </a:extLst>
        </xdr:cNvPr>
        <xdr:cNvSpPr/>
      </xdr:nvSpPr>
      <xdr:spPr>
        <a:xfrm>
          <a:off x="550037" y="4447667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224</xdr:row>
      <xdr:rowOff>6350</xdr:rowOff>
    </xdr:from>
    <xdr:ext cx="371475" cy="0"/>
    <xdr:sp macro="" textlink="">
      <xdr:nvSpPr>
        <xdr:cNvPr id="706" name="Shape 171">
          <a:extLst>
            <a:ext uri="{FF2B5EF4-FFF2-40B4-BE49-F238E27FC236}">
              <a16:creationId xmlns:a16="http://schemas.microsoft.com/office/drawing/2014/main" id="{27A06F59-E19C-420E-8BA0-07A05DE63E67}"/>
            </a:ext>
          </a:extLst>
        </xdr:cNvPr>
        <xdr:cNvSpPr/>
      </xdr:nvSpPr>
      <xdr:spPr>
        <a:xfrm>
          <a:off x="8854440" y="4447667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225</xdr:row>
      <xdr:rowOff>21970</xdr:rowOff>
    </xdr:from>
    <xdr:ext cx="114300" cy="114300"/>
    <xdr:pic>
      <xdr:nvPicPr>
        <xdr:cNvPr id="707" name="image1.png">
          <a:extLst>
            <a:ext uri="{FF2B5EF4-FFF2-40B4-BE49-F238E27FC236}">
              <a16:creationId xmlns:a16="http://schemas.microsoft.com/office/drawing/2014/main" id="{C152EDB3-CF23-4AFB-A563-2CC40786A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469041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228</xdr:row>
      <xdr:rowOff>254</xdr:rowOff>
    </xdr:from>
    <xdr:ext cx="2141855" cy="0"/>
    <xdr:sp macro="" textlink="">
      <xdr:nvSpPr>
        <xdr:cNvPr id="708" name="Shape 173">
          <a:extLst>
            <a:ext uri="{FF2B5EF4-FFF2-40B4-BE49-F238E27FC236}">
              <a16:creationId xmlns:a16="http://schemas.microsoft.com/office/drawing/2014/main" id="{90E6EDBB-A181-4538-9C1D-352C931D926D}"/>
            </a:ext>
          </a:extLst>
        </xdr:cNvPr>
        <xdr:cNvSpPr/>
      </xdr:nvSpPr>
      <xdr:spPr>
        <a:xfrm>
          <a:off x="1650745" y="4536211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228</xdr:row>
      <xdr:rowOff>0</xdr:rowOff>
    </xdr:from>
    <xdr:ext cx="828675" cy="0"/>
    <xdr:sp macro="" textlink="">
      <xdr:nvSpPr>
        <xdr:cNvPr id="709" name="Shape 174">
          <a:extLst>
            <a:ext uri="{FF2B5EF4-FFF2-40B4-BE49-F238E27FC236}">
              <a16:creationId xmlns:a16="http://schemas.microsoft.com/office/drawing/2014/main" id="{5033F55F-DE39-400A-9D57-B4DE05667109}"/>
            </a:ext>
          </a:extLst>
        </xdr:cNvPr>
        <xdr:cNvSpPr/>
      </xdr:nvSpPr>
      <xdr:spPr>
        <a:xfrm>
          <a:off x="550037" y="4536186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228</xdr:row>
      <xdr:rowOff>0</xdr:rowOff>
    </xdr:from>
    <xdr:ext cx="371475" cy="0"/>
    <xdr:sp macro="" textlink="">
      <xdr:nvSpPr>
        <xdr:cNvPr id="710" name="Shape 175">
          <a:extLst>
            <a:ext uri="{FF2B5EF4-FFF2-40B4-BE49-F238E27FC236}">
              <a16:creationId xmlns:a16="http://schemas.microsoft.com/office/drawing/2014/main" id="{79E3AD5E-88FA-4AAF-89ED-8C8DDE1F172E}"/>
            </a:ext>
          </a:extLst>
        </xdr:cNvPr>
        <xdr:cNvSpPr/>
      </xdr:nvSpPr>
      <xdr:spPr>
        <a:xfrm>
          <a:off x="8854440" y="4536186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22914</xdr:colOff>
      <xdr:row>231</xdr:row>
      <xdr:rowOff>324104</xdr:rowOff>
    </xdr:from>
    <xdr:ext cx="2141855" cy="0"/>
    <xdr:sp macro="" textlink="">
      <xdr:nvSpPr>
        <xdr:cNvPr id="711" name="Shape 176">
          <a:extLst>
            <a:ext uri="{FF2B5EF4-FFF2-40B4-BE49-F238E27FC236}">
              <a16:creationId xmlns:a16="http://schemas.microsoft.com/office/drawing/2014/main" id="{2ABEDA72-A58D-4E41-BEA8-6C86B346A8F9}"/>
            </a:ext>
          </a:extLst>
        </xdr:cNvPr>
        <xdr:cNvSpPr/>
      </xdr:nvSpPr>
      <xdr:spPr>
        <a:xfrm>
          <a:off x="1668834" y="4624984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231</xdr:row>
      <xdr:rowOff>323850</xdr:rowOff>
    </xdr:from>
    <xdr:ext cx="828675" cy="0"/>
    <xdr:sp macro="" textlink="">
      <xdr:nvSpPr>
        <xdr:cNvPr id="712" name="Shape 177">
          <a:extLst>
            <a:ext uri="{FF2B5EF4-FFF2-40B4-BE49-F238E27FC236}">
              <a16:creationId xmlns:a16="http://schemas.microsoft.com/office/drawing/2014/main" id="{2D1FB3EB-3735-4D11-A7BB-40C9DC293B6F}"/>
            </a:ext>
          </a:extLst>
        </xdr:cNvPr>
        <xdr:cNvSpPr/>
      </xdr:nvSpPr>
      <xdr:spPr>
        <a:xfrm>
          <a:off x="548640" y="462495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231</xdr:row>
      <xdr:rowOff>323850</xdr:rowOff>
    </xdr:from>
    <xdr:ext cx="371475" cy="0"/>
    <xdr:sp macro="" textlink="">
      <xdr:nvSpPr>
        <xdr:cNvPr id="713" name="Shape 178">
          <a:extLst>
            <a:ext uri="{FF2B5EF4-FFF2-40B4-BE49-F238E27FC236}">
              <a16:creationId xmlns:a16="http://schemas.microsoft.com/office/drawing/2014/main" id="{7CC3CC2F-EBEF-4B98-B1EF-67CCFB9EE043}"/>
            </a:ext>
          </a:extLst>
        </xdr:cNvPr>
        <xdr:cNvSpPr/>
      </xdr:nvSpPr>
      <xdr:spPr>
        <a:xfrm>
          <a:off x="8837421" y="4624959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235</xdr:row>
      <xdr:rowOff>21970</xdr:rowOff>
    </xdr:from>
    <xdr:ext cx="114300" cy="114300"/>
    <xdr:pic>
      <xdr:nvPicPr>
        <xdr:cNvPr id="714" name="image1.png">
          <a:extLst>
            <a:ext uri="{FF2B5EF4-FFF2-40B4-BE49-F238E27FC236}">
              <a16:creationId xmlns:a16="http://schemas.microsoft.com/office/drawing/2014/main" id="{89A8CBA1-0AA7-455B-8FFE-5A0DC4C43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676305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238</xdr:row>
      <xdr:rowOff>254</xdr:rowOff>
    </xdr:from>
    <xdr:ext cx="2141855" cy="0"/>
    <xdr:sp macro="" textlink="">
      <xdr:nvSpPr>
        <xdr:cNvPr id="715" name="Shape 180">
          <a:extLst>
            <a:ext uri="{FF2B5EF4-FFF2-40B4-BE49-F238E27FC236}">
              <a16:creationId xmlns:a16="http://schemas.microsoft.com/office/drawing/2014/main" id="{8C99CE25-F05C-48AC-B8EA-EA223F8FA1BC}"/>
            </a:ext>
          </a:extLst>
        </xdr:cNvPr>
        <xdr:cNvSpPr/>
      </xdr:nvSpPr>
      <xdr:spPr>
        <a:xfrm>
          <a:off x="1650745" y="4743475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238</xdr:row>
      <xdr:rowOff>0</xdr:rowOff>
    </xdr:from>
    <xdr:ext cx="828675" cy="0"/>
    <xdr:sp macro="" textlink="">
      <xdr:nvSpPr>
        <xdr:cNvPr id="716" name="Shape 181">
          <a:extLst>
            <a:ext uri="{FF2B5EF4-FFF2-40B4-BE49-F238E27FC236}">
              <a16:creationId xmlns:a16="http://schemas.microsoft.com/office/drawing/2014/main" id="{05FDD7E0-4F06-4E57-A622-EF675D8455C8}"/>
            </a:ext>
          </a:extLst>
        </xdr:cNvPr>
        <xdr:cNvSpPr/>
      </xdr:nvSpPr>
      <xdr:spPr>
        <a:xfrm>
          <a:off x="550037" y="4743450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238</xdr:row>
      <xdr:rowOff>0</xdr:rowOff>
    </xdr:from>
    <xdr:ext cx="371475" cy="0"/>
    <xdr:sp macro="" textlink="">
      <xdr:nvSpPr>
        <xdr:cNvPr id="717" name="Shape 182">
          <a:extLst>
            <a:ext uri="{FF2B5EF4-FFF2-40B4-BE49-F238E27FC236}">
              <a16:creationId xmlns:a16="http://schemas.microsoft.com/office/drawing/2014/main" id="{9B09F3AA-015B-4B66-BA19-655C69D04EFA}"/>
            </a:ext>
          </a:extLst>
        </xdr:cNvPr>
        <xdr:cNvSpPr/>
      </xdr:nvSpPr>
      <xdr:spPr>
        <a:xfrm>
          <a:off x="8854440" y="4743450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239</xdr:row>
      <xdr:rowOff>15620</xdr:rowOff>
    </xdr:from>
    <xdr:ext cx="114300" cy="114300"/>
    <xdr:pic>
      <xdr:nvPicPr>
        <xdr:cNvPr id="718" name="image1.png">
          <a:extLst>
            <a:ext uri="{FF2B5EF4-FFF2-40B4-BE49-F238E27FC236}">
              <a16:creationId xmlns:a16="http://schemas.microsoft.com/office/drawing/2014/main" id="{97B7A8E1-49AC-4BD5-9BEA-A3B9A1528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764824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241</xdr:row>
      <xdr:rowOff>324104</xdr:rowOff>
    </xdr:from>
    <xdr:ext cx="2141855" cy="0"/>
    <xdr:sp macro="" textlink="">
      <xdr:nvSpPr>
        <xdr:cNvPr id="719" name="Shape 184">
          <a:extLst>
            <a:ext uri="{FF2B5EF4-FFF2-40B4-BE49-F238E27FC236}">
              <a16:creationId xmlns:a16="http://schemas.microsoft.com/office/drawing/2014/main" id="{1BA5EDE6-A917-4730-B58F-AF8B783FFB2F}"/>
            </a:ext>
          </a:extLst>
        </xdr:cNvPr>
        <xdr:cNvSpPr/>
      </xdr:nvSpPr>
      <xdr:spPr>
        <a:xfrm>
          <a:off x="1668834" y="4832248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241</xdr:row>
      <xdr:rowOff>323850</xdr:rowOff>
    </xdr:from>
    <xdr:ext cx="828675" cy="0"/>
    <xdr:sp macro="" textlink="">
      <xdr:nvSpPr>
        <xdr:cNvPr id="720" name="Shape 185">
          <a:extLst>
            <a:ext uri="{FF2B5EF4-FFF2-40B4-BE49-F238E27FC236}">
              <a16:creationId xmlns:a16="http://schemas.microsoft.com/office/drawing/2014/main" id="{C161A7DC-A6F8-40F9-9272-5ABFC222BBB8}"/>
            </a:ext>
          </a:extLst>
        </xdr:cNvPr>
        <xdr:cNvSpPr/>
      </xdr:nvSpPr>
      <xdr:spPr>
        <a:xfrm>
          <a:off x="548640" y="4832223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241</xdr:row>
      <xdr:rowOff>323850</xdr:rowOff>
    </xdr:from>
    <xdr:ext cx="371475" cy="0"/>
    <xdr:sp macro="" textlink="">
      <xdr:nvSpPr>
        <xdr:cNvPr id="721" name="Shape 186">
          <a:extLst>
            <a:ext uri="{FF2B5EF4-FFF2-40B4-BE49-F238E27FC236}">
              <a16:creationId xmlns:a16="http://schemas.microsoft.com/office/drawing/2014/main" id="{91474D6B-A092-42DD-8DB8-9ACFE8F23280}"/>
            </a:ext>
          </a:extLst>
        </xdr:cNvPr>
        <xdr:cNvSpPr/>
      </xdr:nvSpPr>
      <xdr:spPr>
        <a:xfrm>
          <a:off x="8837421" y="4832223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244</xdr:row>
      <xdr:rowOff>21970</xdr:rowOff>
    </xdr:from>
    <xdr:ext cx="114300" cy="114300"/>
    <xdr:pic>
      <xdr:nvPicPr>
        <xdr:cNvPr id="722" name="image1.png">
          <a:extLst>
            <a:ext uri="{FF2B5EF4-FFF2-40B4-BE49-F238E27FC236}">
              <a16:creationId xmlns:a16="http://schemas.microsoft.com/office/drawing/2014/main" id="{1AEF8354-B759-40C8-A909-4EEF0F40D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868329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247</xdr:row>
      <xdr:rowOff>254</xdr:rowOff>
    </xdr:from>
    <xdr:ext cx="2141855" cy="0"/>
    <xdr:sp macro="" textlink="">
      <xdr:nvSpPr>
        <xdr:cNvPr id="723" name="Shape 188">
          <a:extLst>
            <a:ext uri="{FF2B5EF4-FFF2-40B4-BE49-F238E27FC236}">
              <a16:creationId xmlns:a16="http://schemas.microsoft.com/office/drawing/2014/main" id="{2EADB49D-E874-41C7-AE09-909C27E9B64B}"/>
            </a:ext>
          </a:extLst>
        </xdr:cNvPr>
        <xdr:cNvSpPr/>
      </xdr:nvSpPr>
      <xdr:spPr>
        <a:xfrm>
          <a:off x="1650745" y="4935499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247</xdr:row>
      <xdr:rowOff>0</xdr:rowOff>
    </xdr:from>
    <xdr:ext cx="828675" cy="0"/>
    <xdr:sp macro="" textlink="">
      <xdr:nvSpPr>
        <xdr:cNvPr id="724" name="Shape 189">
          <a:extLst>
            <a:ext uri="{FF2B5EF4-FFF2-40B4-BE49-F238E27FC236}">
              <a16:creationId xmlns:a16="http://schemas.microsoft.com/office/drawing/2014/main" id="{7C1B52AA-9200-437E-B2FA-300A52C389B4}"/>
            </a:ext>
          </a:extLst>
        </xdr:cNvPr>
        <xdr:cNvSpPr/>
      </xdr:nvSpPr>
      <xdr:spPr>
        <a:xfrm>
          <a:off x="550037" y="493547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247</xdr:row>
      <xdr:rowOff>0</xdr:rowOff>
    </xdr:from>
    <xdr:ext cx="371475" cy="0"/>
    <xdr:sp macro="" textlink="">
      <xdr:nvSpPr>
        <xdr:cNvPr id="725" name="Shape 190">
          <a:extLst>
            <a:ext uri="{FF2B5EF4-FFF2-40B4-BE49-F238E27FC236}">
              <a16:creationId xmlns:a16="http://schemas.microsoft.com/office/drawing/2014/main" id="{D0416FFC-6ACA-4E4E-9BAB-B0DCA89B117D}"/>
            </a:ext>
          </a:extLst>
        </xdr:cNvPr>
        <xdr:cNvSpPr/>
      </xdr:nvSpPr>
      <xdr:spPr>
        <a:xfrm>
          <a:off x="8854440" y="4935474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248</xdr:row>
      <xdr:rowOff>15620</xdr:rowOff>
    </xdr:from>
    <xdr:ext cx="114300" cy="114300"/>
    <xdr:pic>
      <xdr:nvPicPr>
        <xdr:cNvPr id="726" name="image1.png">
          <a:extLst>
            <a:ext uri="{FF2B5EF4-FFF2-40B4-BE49-F238E27FC236}">
              <a16:creationId xmlns:a16="http://schemas.microsoft.com/office/drawing/2014/main" id="{B1C4D55B-0171-4250-AED3-14D274E115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49568480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252</xdr:row>
      <xdr:rowOff>21970</xdr:rowOff>
    </xdr:from>
    <xdr:ext cx="114300" cy="114300"/>
    <xdr:pic>
      <xdr:nvPicPr>
        <xdr:cNvPr id="727" name="image1.png">
          <a:extLst>
            <a:ext uri="{FF2B5EF4-FFF2-40B4-BE49-F238E27FC236}">
              <a16:creationId xmlns:a16="http://schemas.microsoft.com/office/drawing/2014/main" id="{96BF59D4-8915-4C2D-9DF8-00A5505B4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0458750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255</xdr:row>
      <xdr:rowOff>260349</xdr:rowOff>
    </xdr:from>
    <xdr:ext cx="828675" cy="0"/>
    <xdr:sp macro="" textlink="">
      <xdr:nvSpPr>
        <xdr:cNvPr id="728" name="Shape 193">
          <a:extLst>
            <a:ext uri="{FF2B5EF4-FFF2-40B4-BE49-F238E27FC236}">
              <a16:creationId xmlns:a16="http://schemas.microsoft.com/office/drawing/2014/main" id="{ECD39B77-1B70-44E1-A508-DC272D4E7AD6}"/>
            </a:ext>
          </a:extLst>
        </xdr:cNvPr>
        <xdr:cNvSpPr/>
      </xdr:nvSpPr>
      <xdr:spPr>
        <a:xfrm>
          <a:off x="551688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255</xdr:row>
      <xdr:rowOff>260603</xdr:rowOff>
    </xdr:from>
    <xdr:ext cx="2141855" cy="0"/>
    <xdr:sp macro="" textlink="">
      <xdr:nvSpPr>
        <xdr:cNvPr id="729" name="Shape 194">
          <a:extLst>
            <a:ext uri="{FF2B5EF4-FFF2-40B4-BE49-F238E27FC236}">
              <a16:creationId xmlns:a16="http://schemas.microsoft.com/office/drawing/2014/main" id="{D581AC57-3C97-4EC1-B7FB-8962D7D37159}"/>
            </a:ext>
          </a:extLst>
        </xdr:cNvPr>
        <xdr:cNvSpPr/>
      </xdr:nvSpPr>
      <xdr:spPr>
        <a:xfrm>
          <a:off x="1645920" y="5104790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255</xdr:row>
      <xdr:rowOff>260349</xdr:rowOff>
    </xdr:from>
    <xdr:ext cx="828675" cy="0"/>
    <xdr:sp macro="" textlink="">
      <xdr:nvSpPr>
        <xdr:cNvPr id="730" name="Shape 195">
          <a:extLst>
            <a:ext uri="{FF2B5EF4-FFF2-40B4-BE49-F238E27FC236}">
              <a16:creationId xmlns:a16="http://schemas.microsoft.com/office/drawing/2014/main" id="{74F5C9C6-228B-4D26-832F-F0E7E325343A}"/>
            </a:ext>
          </a:extLst>
        </xdr:cNvPr>
        <xdr:cNvSpPr/>
      </xdr:nvSpPr>
      <xdr:spPr>
        <a:xfrm>
          <a:off x="550037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255</xdr:row>
      <xdr:rowOff>260349</xdr:rowOff>
    </xdr:from>
    <xdr:ext cx="828675" cy="0"/>
    <xdr:sp macro="" textlink="">
      <xdr:nvSpPr>
        <xdr:cNvPr id="731" name="Shape 196">
          <a:extLst>
            <a:ext uri="{FF2B5EF4-FFF2-40B4-BE49-F238E27FC236}">
              <a16:creationId xmlns:a16="http://schemas.microsoft.com/office/drawing/2014/main" id="{63EE8A82-125A-413E-90ED-B011628CAC2F}"/>
            </a:ext>
          </a:extLst>
        </xdr:cNvPr>
        <xdr:cNvSpPr/>
      </xdr:nvSpPr>
      <xdr:spPr>
        <a:xfrm>
          <a:off x="774192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255</xdr:row>
      <xdr:rowOff>260349</xdr:rowOff>
    </xdr:from>
    <xdr:ext cx="828675" cy="0"/>
    <xdr:sp macro="" textlink="">
      <xdr:nvSpPr>
        <xdr:cNvPr id="732" name="Shape 197">
          <a:extLst>
            <a:ext uri="{FF2B5EF4-FFF2-40B4-BE49-F238E27FC236}">
              <a16:creationId xmlns:a16="http://schemas.microsoft.com/office/drawing/2014/main" id="{06426B4E-ED04-4E59-85E7-328F65961411}"/>
            </a:ext>
          </a:extLst>
        </xdr:cNvPr>
        <xdr:cNvSpPr/>
      </xdr:nvSpPr>
      <xdr:spPr>
        <a:xfrm>
          <a:off x="4419663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255</xdr:row>
      <xdr:rowOff>260349</xdr:rowOff>
    </xdr:from>
    <xdr:ext cx="828675" cy="0"/>
    <xdr:sp macro="" textlink="">
      <xdr:nvSpPr>
        <xdr:cNvPr id="733" name="Shape 198">
          <a:extLst>
            <a:ext uri="{FF2B5EF4-FFF2-40B4-BE49-F238E27FC236}">
              <a16:creationId xmlns:a16="http://schemas.microsoft.com/office/drawing/2014/main" id="{AD4C7326-791F-4B74-B8A5-37223A7CA763}"/>
            </a:ext>
          </a:extLst>
        </xdr:cNvPr>
        <xdr:cNvSpPr/>
      </xdr:nvSpPr>
      <xdr:spPr>
        <a:xfrm>
          <a:off x="6629400" y="5104764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255</xdr:row>
      <xdr:rowOff>260349</xdr:rowOff>
    </xdr:from>
    <xdr:ext cx="371475" cy="0"/>
    <xdr:sp macro="" textlink="">
      <xdr:nvSpPr>
        <xdr:cNvPr id="734" name="Shape 199">
          <a:extLst>
            <a:ext uri="{FF2B5EF4-FFF2-40B4-BE49-F238E27FC236}">
              <a16:creationId xmlns:a16="http://schemas.microsoft.com/office/drawing/2014/main" id="{78A49AC2-D5A0-4A89-AA02-A54D58519389}"/>
            </a:ext>
          </a:extLst>
        </xdr:cNvPr>
        <xdr:cNvSpPr/>
      </xdr:nvSpPr>
      <xdr:spPr>
        <a:xfrm>
          <a:off x="8854440" y="5104764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256</xdr:row>
      <xdr:rowOff>21970</xdr:rowOff>
    </xdr:from>
    <xdr:ext cx="114300" cy="114300"/>
    <xdr:pic>
      <xdr:nvPicPr>
        <xdr:cNvPr id="735" name="image1.png">
          <a:extLst>
            <a:ext uri="{FF2B5EF4-FFF2-40B4-BE49-F238E27FC236}">
              <a16:creationId xmlns:a16="http://schemas.microsoft.com/office/drawing/2014/main" id="{45843552-447E-4AAA-BFCF-EAF6B2137D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1258850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259</xdr:row>
      <xdr:rowOff>256</xdr:rowOff>
    </xdr:from>
    <xdr:ext cx="2141855" cy="0"/>
    <xdr:sp macro="" textlink="">
      <xdr:nvSpPr>
        <xdr:cNvPr id="736" name="Shape 201">
          <a:extLst>
            <a:ext uri="{FF2B5EF4-FFF2-40B4-BE49-F238E27FC236}">
              <a16:creationId xmlns:a16="http://schemas.microsoft.com/office/drawing/2014/main" id="{A53E1B15-ACEA-412B-9A54-B32B6F3AA503}"/>
            </a:ext>
          </a:extLst>
        </xdr:cNvPr>
        <xdr:cNvSpPr/>
      </xdr:nvSpPr>
      <xdr:spPr>
        <a:xfrm>
          <a:off x="1668834" y="5193055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259</xdr:row>
      <xdr:rowOff>2</xdr:rowOff>
    </xdr:from>
    <xdr:ext cx="828675" cy="0"/>
    <xdr:sp macro="" textlink="">
      <xdr:nvSpPr>
        <xdr:cNvPr id="737" name="Shape 202">
          <a:extLst>
            <a:ext uri="{FF2B5EF4-FFF2-40B4-BE49-F238E27FC236}">
              <a16:creationId xmlns:a16="http://schemas.microsoft.com/office/drawing/2014/main" id="{5C4B08F3-05D2-478A-B1D2-4E01183B2A58}"/>
            </a:ext>
          </a:extLst>
        </xdr:cNvPr>
        <xdr:cNvSpPr/>
      </xdr:nvSpPr>
      <xdr:spPr>
        <a:xfrm>
          <a:off x="489305" y="5193030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259</xdr:row>
      <xdr:rowOff>2</xdr:rowOff>
    </xdr:from>
    <xdr:ext cx="371475" cy="0"/>
    <xdr:sp macro="" textlink="">
      <xdr:nvSpPr>
        <xdr:cNvPr id="738" name="Shape 203">
          <a:extLst>
            <a:ext uri="{FF2B5EF4-FFF2-40B4-BE49-F238E27FC236}">
              <a16:creationId xmlns:a16="http://schemas.microsoft.com/office/drawing/2014/main" id="{148B9C93-7302-446D-8F75-5ECA946C2873}"/>
            </a:ext>
          </a:extLst>
        </xdr:cNvPr>
        <xdr:cNvSpPr/>
      </xdr:nvSpPr>
      <xdr:spPr>
        <a:xfrm>
          <a:off x="8854440" y="5193030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261</xdr:row>
      <xdr:rowOff>15623</xdr:rowOff>
    </xdr:from>
    <xdr:ext cx="114300" cy="114300"/>
    <xdr:pic>
      <xdr:nvPicPr>
        <xdr:cNvPr id="739" name="image1.png">
          <a:extLst>
            <a:ext uri="{FF2B5EF4-FFF2-40B4-BE49-F238E27FC236}">
              <a16:creationId xmlns:a16="http://schemas.microsoft.com/office/drawing/2014/main" id="{015854A8-FB4F-4976-8BAB-93F88360A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229644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264</xdr:row>
      <xdr:rowOff>6606</xdr:rowOff>
    </xdr:from>
    <xdr:ext cx="2141855" cy="0"/>
    <xdr:sp macro="" textlink="">
      <xdr:nvSpPr>
        <xdr:cNvPr id="740" name="Shape 205">
          <a:extLst>
            <a:ext uri="{FF2B5EF4-FFF2-40B4-BE49-F238E27FC236}">
              <a16:creationId xmlns:a16="http://schemas.microsoft.com/office/drawing/2014/main" id="{A61330A7-9E86-4213-930A-C9167CE4FF36}"/>
            </a:ext>
          </a:extLst>
        </xdr:cNvPr>
        <xdr:cNvSpPr/>
      </xdr:nvSpPr>
      <xdr:spPr>
        <a:xfrm>
          <a:off x="1650745" y="5296560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264</xdr:row>
      <xdr:rowOff>6352</xdr:rowOff>
    </xdr:from>
    <xdr:ext cx="828675" cy="0"/>
    <xdr:sp macro="" textlink="">
      <xdr:nvSpPr>
        <xdr:cNvPr id="741" name="Shape 206">
          <a:extLst>
            <a:ext uri="{FF2B5EF4-FFF2-40B4-BE49-F238E27FC236}">
              <a16:creationId xmlns:a16="http://schemas.microsoft.com/office/drawing/2014/main" id="{7004C00E-9F64-4CF2-A814-B6D9E615B1AF}"/>
            </a:ext>
          </a:extLst>
        </xdr:cNvPr>
        <xdr:cNvSpPr/>
      </xdr:nvSpPr>
      <xdr:spPr>
        <a:xfrm>
          <a:off x="550037" y="5296535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264</xdr:row>
      <xdr:rowOff>6352</xdr:rowOff>
    </xdr:from>
    <xdr:ext cx="371475" cy="0"/>
    <xdr:sp macro="" textlink="">
      <xdr:nvSpPr>
        <xdr:cNvPr id="742" name="Shape 207">
          <a:extLst>
            <a:ext uri="{FF2B5EF4-FFF2-40B4-BE49-F238E27FC236}">
              <a16:creationId xmlns:a16="http://schemas.microsoft.com/office/drawing/2014/main" id="{9B56874B-1A6E-45C1-B55C-929A43CA3632}"/>
            </a:ext>
          </a:extLst>
        </xdr:cNvPr>
        <xdr:cNvSpPr/>
      </xdr:nvSpPr>
      <xdr:spPr>
        <a:xfrm>
          <a:off x="8854440" y="5296535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265</xdr:row>
      <xdr:rowOff>21973</xdr:rowOff>
    </xdr:from>
    <xdr:ext cx="114300" cy="114300"/>
    <xdr:pic>
      <xdr:nvPicPr>
        <xdr:cNvPr id="743" name="image1.png">
          <a:extLst>
            <a:ext uri="{FF2B5EF4-FFF2-40B4-BE49-F238E27FC236}">
              <a16:creationId xmlns:a16="http://schemas.microsoft.com/office/drawing/2014/main" id="{DFAF758F-5CA2-42AF-BF59-10B3FE296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317909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268</xdr:row>
      <xdr:rowOff>256</xdr:rowOff>
    </xdr:from>
    <xdr:ext cx="2141855" cy="0"/>
    <xdr:sp macro="" textlink="">
      <xdr:nvSpPr>
        <xdr:cNvPr id="744" name="Shape 209">
          <a:extLst>
            <a:ext uri="{FF2B5EF4-FFF2-40B4-BE49-F238E27FC236}">
              <a16:creationId xmlns:a16="http://schemas.microsoft.com/office/drawing/2014/main" id="{B4F5A288-72A7-481C-B062-3049575ED52B}"/>
            </a:ext>
          </a:extLst>
        </xdr:cNvPr>
        <xdr:cNvSpPr/>
      </xdr:nvSpPr>
      <xdr:spPr>
        <a:xfrm>
          <a:off x="1650745" y="5385079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268</xdr:row>
      <xdr:rowOff>2</xdr:rowOff>
    </xdr:from>
    <xdr:ext cx="828675" cy="0"/>
    <xdr:sp macro="" textlink="">
      <xdr:nvSpPr>
        <xdr:cNvPr id="745" name="Shape 210">
          <a:extLst>
            <a:ext uri="{FF2B5EF4-FFF2-40B4-BE49-F238E27FC236}">
              <a16:creationId xmlns:a16="http://schemas.microsoft.com/office/drawing/2014/main" id="{8B1D8643-339A-459E-8642-3974CF5BA428}"/>
            </a:ext>
          </a:extLst>
        </xdr:cNvPr>
        <xdr:cNvSpPr/>
      </xdr:nvSpPr>
      <xdr:spPr>
        <a:xfrm>
          <a:off x="550037" y="5385054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268</xdr:row>
      <xdr:rowOff>2</xdr:rowOff>
    </xdr:from>
    <xdr:ext cx="371475" cy="0"/>
    <xdr:sp macro="" textlink="">
      <xdr:nvSpPr>
        <xdr:cNvPr id="746" name="Shape 211">
          <a:extLst>
            <a:ext uri="{FF2B5EF4-FFF2-40B4-BE49-F238E27FC236}">
              <a16:creationId xmlns:a16="http://schemas.microsoft.com/office/drawing/2014/main" id="{2DC773FE-7186-4CD9-B073-4F816BF86312}"/>
            </a:ext>
          </a:extLst>
        </xdr:cNvPr>
        <xdr:cNvSpPr/>
      </xdr:nvSpPr>
      <xdr:spPr>
        <a:xfrm>
          <a:off x="8854440" y="5385054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269</xdr:row>
      <xdr:rowOff>15623</xdr:rowOff>
    </xdr:from>
    <xdr:ext cx="114300" cy="114300"/>
    <xdr:pic>
      <xdr:nvPicPr>
        <xdr:cNvPr id="747" name="image1.png">
          <a:extLst>
            <a:ext uri="{FF2B5EF4-FFF2-40B4-BE49-F238E27FC236}">
              <a16:creationId xmlns:a16="http://schemas.microsoft.com/office/drawing/2014/main" id="{2193F37B-F4C5-43C2-BBF5-655095FE6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406428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272</xdr:row>
      <xdr:rowOff>6606</xdr:rowOff>
    </xdr:from>
    <xdr:ext cx="2141855" cy="0"/>
    <xdr:sp macro="" textlink="">
      <xdr:nvSpPr>
        <xdr:cNvPr id="748" name="Shape 213">
          <a:extLst>
            <a:ext uri="{FF2B5EF4-FFF2-40B4-BE49-F238E27FC236}">
              <a16:creationId xmlns:a16="http://schemas.microsoft.com/office/drawing/2014/main" id="{1DB4B82F-310A-462A-A81E-E5304AFD704E}"/>
            </a:ext>
          </a:extLst>
        </xdr:cNvPr>
        <xdr:cNvSpPr/>
      </xdr:nvSpPr>
      <xdr:spPr>
        <a:xfrm>
          <a:off x="1650745" y="5473344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272</xdr:row>
      <xdr:rowOff>6352</xdr:rowOff>
    </xdr:from>
    <xdr:ext cx="828675" cy="0"/>
    <xdr:sp macro="" textlink="">
      <xdr:nvSpPr>
        <xdr:cNvPr id="749" name="Shape 214">
          <a:extLst>
            <a:ext uri="{FF2B5EF4-FFF2-40B4-BE49-F238E27FC236}">
              <a16:creationId xmlns:a16="http://schemas.microsoft.com/office/drawing/2014/main" id="{3359B1FE-C1B4-4AE2-8E58-7E9BC4DAB855}"/>
            </a:ext>
          </a:extLst>
        </xdr:cNvPr>
        <xdr:cNvSpPr/>
      </xdr:nvSpPr>
      <xdr:spPr>
        <a:xfrm>
          <a:off x="550037" y="5473319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272</xdr:row>
      <xdr:rowOff>6352</xdr:rowOff>
    </xdr:from>
    <xdr:ext cx="371475" cy="0"/>
    <xdr:sp macro="" textlink="">
      <xdr:nvSpPr>
        <xdr:cNvPr id="750" name="Shape 215">
          <a:extLst>
            <a:ext uri="{FF2B5EF4-FFF2-40B4-BE49-F238E27FC236}">
              <a16:creationId xmlns:a16="http://schemas.microsoft.com/office/drawing/2014/main" id="{F1B24C35-D2CC-4FBA-90E0-82F0CAC14C44}"/>
            </a:ext>
          </a:extLst>
        </xdr:cNvPr>
        <xdr:cNvSpPr/>
      </xdr:nvSpPr>
      <xdr:spPr>
        <a:xfrm>
          <a:off x="8854440" y="5473319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274</xdr:row>
      <xdr:rowOff>21973</xdr:rowOff>
    </xdr:from>
    <xdr:ext cx="114300" cy="114300"/>
    <xdr:pic>
      <xdr:nvPicPr>
        <xdr:cNvPr id="751" name="image1.png">
          <a:extLst>
            <a:ext uri="{FF2B5EF4-FFF2-40B4-BE49-F238E27FC236}">
              <a16:creationId xmlns:a16="http://schemas.microsoft.com/office/drawing/2014/main" id="{29475869-2E45-4EB3-9989-221DC8C36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509933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277</xdr:row>
      <xdr:rowOff>256</xdr:rowOff>
    </xdr:from>
    <xdr:ext cx="2141855" cy="0"/>
    <xdr:sp macro="" textlink="">
      <xdr:nvSpPr>
        <xdr:cNvPr id="752" name="Shape 217">
          <a:extLst>
            <a:ext uri="{FF2B5EF4-FFF2-40B4-BE49-F238E27FC236}">
              <a16:creationId xmlns:a16="http://schemas.microsoft.com/office/drawing/2014/main" id="{49C95A52-2458-4A8B-BBBE-485A66291CC6}"/>
            </a:ext>
          </a:extLst>
        </xdr:cNvPr>
        <xdr:cNvSpPr/>
      </xdr:nvSpPr>
      <xdr:spPr>
        <a:xfrm>
          <a:off x="1668834" y="5577103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277</xdr:row>
      <xdr:rowOff>2</xdr:rowOff>
    </xdr:from>
    <xdr:ext cx="828675" cy="0"/>
    <xdr:sp macro="" textlink="">
      <xdr:nvSpPr>
        <xdr:cNvPr id="753" name="Shape 218">
          <a:extLst>
            <a:ext uri="{FF2B5EF4-FFF2-40B4-BE49-F238E27FC236}">
              <a16:creationId xmlns:a16="http://schemas.microsoft.com/office/drawing/2014/main" id="{84EF5F8D-EC75-461A-816A-8EC3B57D1D1A}"/>
            </a:ext>
          </a:extLst>
        </xdr:cNvPr>
        <xdr:cNvSpPr/>
      </xdr:nvSpPr>
      <xdr:spPr>
        <a:xfrm>
          <a:off x="489305" y="5577078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277</xdr:row>
      <xdr:rowOff>2</xdr:rowOff>
    </xdr:from>
    <xdr:ext cx="371475" cy="0"/>
    <xdr:sp macro="" textlink="">
      <xdr:nvSpPr>
        <xdr:cNvPr id="754" name="Shape 219">
          <a:extLst>
            <a:ext uri="{FF2B5EF4-FFF2-40B4-BE49-F238E27FC236}">
              <a16:creationId xmlns:a16="http://schemas.microsoft.com/office/drawing/2014/main" id="{2C01DC95-F417-485B-864B-35FB4F152C2D}"/>
            </a:ext>
          </a:extLst>
        </xdr:cNvPr>
        <xdr:cNvSpPr/>
      </xdr:nvSpPr>
      <xdr:spPr>
        <a:xfrm>
          <a:off x="8854440" y="5577078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278</xdr:row>
      <xdr:rowOff>15623</xdr:rowOff>
    </xdr:from>
    <xdr:ext cx="114300" cy="114300"/>
    <xdr:pic>
      <xdr:nvPicPr>
        <xdr:cNvPr id="755" name="image1.png">
          <a:extLst>
            <a:ext uri="{FF2B5EF4-FFF2-40B4-BE49-F238E27FC236}">
              <a16:creationId xmlns:a16="http://schemas.microsoft.com/office/drawing/2014/main" id="{DF2423BD-020B-4895-A572-D2978AD36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598452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281</xdr:row>
      <xdr:rowOff>6606</xdr:rowOff>
    </xdr:from>
    <xdr:ext cx="2141855" cy="0"/>
    <xdr:sp macro="" textlink="">
      <xdr:nvSpPr>
        <xdr:cNvPr id="756" name="Shape 221">
          <a:extLst>
            <a:ext uri="{FF2B5EF4-FFF2-40B4-BE49-F238E27FC236}">
              <a16:creationId xmlns:a16="http://schemas.microsoft.com/office/drawing/2014/main" id="{EDB97192-7397-44A9-B74B-41F2AF0C8297}"/>
            </a:ext>
          </a:extLst>
        </xdr:cNvPr>
        <xdr:cNvSpPr/>
      </xdr:nvSpPr>
      <xdr:spPr>
        <a:xfrm>
          <a:off x="1650745" y="566536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281</xdr:row>
      <xdr:rowOff>6352</xdr:rowOff>
    </xdr:from>
    <xdr:ext cx="828675" cy="0"/>
    <xdr:sp macro="" textlink="">
      <xdr:nvSpPr>
        <xdr:cNvPr id="757" name="Shape 222">
          <a:extLst>
            <a:ext uri="{FF2B5EF4-FFF2-40B4-BE49-F238E27FC236}">
              <a16:creationId xmlns:a16="http://schemas.microsoft.com/office/drawing/2014/main" id="{230EF430-11A6-41C0-9508-3A5038EA7F72}"/>
            </a:ext>
          </a:extLst>
        </xdr:cNvPr>
        <xdr:cNvSpPr/>
      </xdr:nvSpPr>
      <xdr:spPr>
        <a:xfrm>
          <a:off x="550037" y="566534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281</xdr:row>
      <xdr:rowOff>6352</xdr:rowOff>
    </xdr:from>
    <xdr:ext cx="371475" cy="0"/>
    <xdr:sp macro="" textlink="">
      <xdr:nvSpPr>
        <xdr:cNvPr id="758" name="Shape 223">
          <a:extLst>
            <a:ext uri="{FF2B5EF4-FFF2-40B4-BE49-F238E27FC236}">
              <a16:creationId xmlns:a16="http://schemas.microsoft.com/office/drawing/2014/main" id="{C19961AE-79D4-44F7-B11A-A4A9B4A205A6}"/>
            </a:ext>
          </a:extLst>
        </xdr:cNvPr>
        <xdr:cNvSpPr/>
      </xdr:nvSpPr>
      <xdr:spPr>
        <a:xfrm>
          <a:off x="8854440" y="566534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282</xdr:row>
      <xdr:rowOff>21973</xdr:rowOff>
    </xdr:from>
    <xdr:ext cx="114300" cy="114300"/>
    <xdr:pic>
      <xdr:nvPicPr>
        <xdr:cNvPr id="759" name="image1.png">
          <a:extLst>
            <a:ext uri="{FF2B5EF4-FFF2-40B4-BE49-F238E27FC236}">
              <a16:creationId xmlns:a16="http://schemas.microsoft.com/office/drawing/2014/main" id="{7DB9F58A-8DDB-49A0-93C4-BCFD2B655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686717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285</xdr:row>
      <xdr:rowOff>256</xdr:rowOff>
    </xdr:from>
    <xdr:ext cx="2141855" cy="0"/>
    <xdr:sp macro="" textlink="">
      <xdr:nvSpPr>
        <xdr:cNvPr id="760" name="Shape 225">
          <a:extLst>
            <a:ext uri="{FF2B5EF4-FFF2-40B4-BE49-F238E27FC236}">
              <a16:creationId xmlns:a16="http://schemas.microsoft.com/office/drawing/2014/main" id="{BC0B9846-BCE8-46E2-8122-2E195B442EE9}"/>
            </a:ext>
          </a:extLst>
        </xdr:cNvPr>
        <xdr:cNvSpPr/>
      </xdr:nvSpPr>
      <xdr:spPr>
        <a:xfrm>
          <a:off x="1650745" y="5753887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285</xdr:row>
      <xdr:rowOff>2</xdr:rowOff>
    </xdr:from>
    <xdr:ext cx="828675" cy="0"/>
    <xdr:sp macro="" textlink="">
      <xdr:nvSpPr>
        <xdr:cNvPr id="761" name="Shape 226">
          <a:extLst>
            <a:ext uri="{FF2B5EF4-FFF2-40B4-BE49-F238E27FC236}">
              <a16:creationId xmlns:a16="http://schemas.microsoft.com/office/drawing/2014/main" id="{2C5253F2-1D2C-4B16-ADA3-2659CB1A2D12}"/>
            </a:ext>
          </a:extLst>
        </xdr:cNvPr>
        <xdr:cNvSpPr/>
      </xdr:nvSpPr>
      <xdr:spPr>
        <a:xfrm>
          <a:off x="550037" y="5753862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285</xdr:row>
      <xdr:rowOff>2</xdr:rowOff>
    </xdr:from>
    <xdr:ext cx="371475" cy="0"/>
    <xdr:sp macro="" textlink="">
      <xdr:nvSpPr>
        <xdr:cNvPr id="762" name="Shape 227">
          <a:extLst>
            <a:ext uri="{FF2B5EF4-FFF2-40B4-BE49-F238E27FC236}">
              <a16:creationId xmlns:a16="http://schemas.microsoft.com/office/drawing/2014/main" id="{3A20E636-08FA-452D-B2E0-F9591314DE03}"/>
            </a:ext>
          </a:extLst>
        </xdr:cNvPr>
        <xdr:cNvSpPr/>
      </xdr:nvSpPr>
      <xdr:spPr>
        <a:xfrm>
          <a:off x="8854440" y="5753862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286</xdr:row>
      <xdr:rowOff>15623</xdr:rowOff>
    </xdr:from>
    <xdr:ext cx="114300" cy="114300"/>
    <xdr:pic>
      <xdr:nvPicPr>
        <xdr:cNvPr id="763" name="image1.png">
          <a:extLst>
            <a:ext uri="{FF2B5EF4-FFF2-40B4-BE49-F238E27FC236}">
              <a16:creationId xmlns:a16="http://schemas.microsoft.com/office/drawing/2014/main" id="{9282E989-69B7-4D37-9A03-AB668899B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775236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289</xdr:row>
      <xdr:rowOff>6606</xdr:rowOff>
    </xdr:from>
    <xdr:ext cx="2141855" cy="0"/>
    <xdr:sp macro="" textlink="">
      <xdr:nvSpPr>
        <xdr:cNvPr id="764" name="Shape 229">
          <a:extLst>
            <a:ext uri="{FF2B5EF4-FFF2-40B4-BE49-F238E27FC236}">
              <a16:creationId xmlns:a16="http://schemas.microsoft.com/office/drawing/2014/main" id="{7BAC42A4-8D69-4EAB-B27A-CAB427426028}"/>
            </a:ext>
          </a:extLst>
        </xdr:cNvPr>
        <xdr:cNvSpPr/>
      </xdr:nvSpPr>
      <xdr:spPr>
        <a:xfrm>
          <a:off x="1650745" y="5842152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289</xdr:row>
      <xdr:rowOff>6352</xdr:rowOff>
    </xdr:from>
    <xdr:ext cx="828675" cy="0"/>
    <xdr:sp macro="" textlink="">
      <xdr:nvSpPr>
        <xdr:cNvPr id="765" name="Shape 230">
          <a:extLst>
            <a:ext uri="{FF2B5EF4-FFF2-40B4-BE49-F238E27FC236}">
              <a16:creationId xmlns:a16="http://schemas.microsoft.com/office/drawing/2014/main" id="{4BD7B435-656E-45EA-AFCD-E4C576B3CB0A}"/>
            </a:ext>
          </a:extLst>
        </xdr:cNvPr>
        <xdr:cNvSpPr/>
      </xdr:nvSpPr>
      <xdr:spPr>
        <a:xfrm>
          <a:off x="550037" y="5842127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289</xdr:row>
      <xdr:rowOff>6352</xdr:rowOff>
    </xdr:from>
    <xdr:ext cx="371475" cy="0"/>
    <xdr:sp macro="" textlink="">
      <xdr:nvSpPr>
        <xdr:cNvPr id="766" name="Shape 231">
          <a:extLst>
            <a:ext uri="{FF2B5EF4-FFF2-40B4-BE49-F238E27FC236}">
              <a16:creationId xmlns:a16="http://schemas.microsoft.com/office/drawing/2014/main" id="{C18D8097-5F26-4DDA-A4FC-128298CC01C2}"/>
            </a:ext>
          </a:extLst>
        </xdr:cNvPr>
        <xdr:cNvSpPr/>
      </xdr:nvSpPr>
      <xdr:spPr>
        <a:xfrm>
          <a:off x="8854440" y="5842127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292</xdr:row>
      <xdr:rowOff>21973</xdr:rowOff>
    </xdr:from>
    <xdr:ext cx="114300" cy="114300"/>
    <xdr:pic>
      <xdr:nvPicPr>
        <xdr:cNvPr id="767" name="image1.png">
          <a:extLst>
            <a:ext uri="{FF2B5EF4-FFF2-40B4-BE49-F238E27FC236}">
              <a16:creationId xmlns:a16="http://schemas.microsoft.com/office/drawing/2014/main" id="{C2C79762-7000-4F06-B8B0-DAAE8B968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893981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295</xdr:row>
      <xdr:rowOff>6603</xdr:rowOff>
    </xdr:from>
    <xdr:ext cx="2141855" cy="0"/>
    <xdr:sp macro="" textlink="">
      <xdr:nvSpPr>
        <xdr:cNvPr id="768" name="Shape 233">
          <a:extLst>
            <a:ext uri="{FF2B5EF4-FFF2-40B4-BE49-F238E27FC236}">
              <a16:creationId xmlns:a16="http://schemas.microsoft.com/office/drawing/2014/main" id="{A692ADDC-F9D8-4AFC-8A46-59188F0EC46B}"/>
            </a:ext>
          </a:extLst>
        </xdr:cNvPr>
        <xdr:cNvSpPr/>
      </xdr:nvSpPr>
      <xdr:spPr>
        <a:xfrm>
          <a:off x="1650745" y="595111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295</xdr:row>
      <xdr:rowOff>6348</xdr:rowOff>
    </xdr:from>
    <xdr:ext cx="828675" cy="0"/>
    <xdr:sp macro="" textlink="">
      <xdr:nvSpPr>
        <xdr:cNvPr id="769" name="Shape 234">
          <a:extLst>
            <a:ext uri="{FF2B5EF4-FFF2-40B4-BE49-F238E27FC236}">
              <a16:creationId xmlns:a16="http://schemas.microsoft.com/office/drawing/2014/main" id="{95E11D3C-D3DC-4366-A157-0DB31EB122F7}"/>
            </a:ext>
          </a:extLst>
        </xdr:cNvPr>
        <xdr:cNvSpPr/>
      </xdr:nvSpPr>
      <xdr:spPr>
        <a:xfrm>
          <a:off x="550037" y="5951092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295</xdr:row>
      <xdr:rowOff>6348</xdr:rowOff>
    </xdr:from>
    <xdr:ext cx="371475" cy="0"/>
    <xdr:sp macro="" textlink="">
      <xdr:nvSpPr>
        <xdr:cNvPr id="770" name="Shape 235">
          <a:extLst>
            <a:ext uri="{FF2B5EF4-FFF2-40B4-BE49-F238E27FC236}">
              <a16:creationId xmlns:a16="http://schemas.microsoft.com/office/drawing/2014/main" id="{EF716ACF-17E0-41E1-9FCE-D5D95D05A690}"/>
            </a:ext>
          </a:extLst>
        </xdr:cNvPr>
        <xdr:cNvSpPr/>
      </xdr:nvSpPr>
      <xdr:spPr>
        <a:xfrm>
          <a:off x="8854440" y="5951092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297</xdr:row>
      <xdr:rowOff>21969</xdr:rowOff>
    </xdr:from>
    <xdr:ext cx="114300" cy="114300"/>
    <xdr:pic>
      <xdr:nvPicPr>
        <xdr:cNvPr id="771" name="image1.png">
          <a:extLst>
            <a:ext uri="{FF2B5EF4-FFF2-40B4-BE49-F238E27FC236}">
              <a16:creationId xmlns:a16="http://schemas.microsoft.com/office/drawing/2014/main" id="{75634D1B-C77D-4F2F-8342-BA79A423A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598770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300</xdr:row>
      <xdr:rowOff>253</xdr:rowOff>
    </xdr:from>
    <xdr:ext cx="2141855" cy="0"/>
    <xdr:sp macro="" textlink="">
      <xdr:nvSpPr>
        <xdr:cNvPr id="772" name="Shape 237">
          <a:extLst>
            <a:ext uri="{FF2B5EF4-FFF2-40B4-BE49-F238E27FC236}">
              <a16:creationId xmlns:a16="http://schemas.microsoft.com/office/drawing/2014/main" id="{14134C42-FA82-4FCE-BE76-7F9B09CB6272}"/>
            </a:ext>
          </a:extLst>
        </xdr:cNvPr>
        <xdr:cNvSpPr/>
      </xdr:nvSpPr>
      <xdr:spPr>
        <a:xfrm>
          <a:off x="1650745" y="605487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300</xdr:row>
      <xdr:rowOff>-1</xdr:rowOff>
    </xdr:from>
    <xdr:ext cx="828675" cy="0"/>
    <xdr:sp macro="" textlink="">
      <xdr:nvSpPr>
        <xdr:cNvPr id="773" name="Shape 238">
          <a:extLst>
            <a:ext uri="{FF2B5EF4-FFF2-40B4-BE49-F238E27FC236}">
              <a16:creationId xmlns:a16="http://schemas.microsoft.com/office/drawing/2014/main" id="{62EA5F5D-DC1D-4E78-87DB-8BF31ACC782F}"/>
            </a:ext>
          </a:extLst>
        </xdr:cNvPr>
        <xdr:cNvSpPr/>
      </xdr:nvSpPr>
      <xdr:spPr>
        <a:xfrm>
          <a:off x="550037" y="6054851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300</xdr:row>
      <xdr:rowOff>-1</xdr:rowOff>
    </xdr:from>
    <xdr:ext cx="371475" cy="0"/>
    <xdr:sp macro="" textlink="">
      <xdr:nvSpPr>
        <xdr:cNvPr id="774" name="Shape 239">
          <a:extLst>
            <a:ext uri="{FF2B5EF4-FFF2-40B4-BE49-F238E27FC236}">
              <a16:creationId xmlns:a16="http://schemas.microsoft.com/office/drawing/2014/main" id="{CA0066DC-742F-43C8-A37D-E60E0FFDFC5B}"/>
            </a:ext>
          </a:extLst>
        </xdr:cNvPr>
        <xdr:cNvSpPr/>
      </xdr:nvSpPr>
      <xdr:spPr>
        <a:xfrm>
          <a:off x="8854440" y="6054851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301</xdr:row>
      <xdr:rowOff>15619</xdr:rowOff>
    </xdr:from>
    <xdr:ext cx="114300" cy="114300"/>
    <xdr:pic>
      <xdr:nvPicPr>
        <xdr:cNvPr id="775" name="image1.png">
          <a:extLst>
            <a:ext uri="{FF2B5EF4-FFF2-40B4-BE49-F238E27FC236}">
              <a16:creationId xmlns:a16="http://schemas.microsoft.com/office/drawing/2014/main" id="{E8959FBC-B2FC-4556-9659-F2F70FF546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07622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304</xdr:row>
      <xdr:rowOff>6603</xdr:rowOff>
    </xdr:from>
    <xdr:ext cx="2141855" cy="0"/>
    <xdr:sp macro="" textlink="">
      <xdr:nvSpPr>
        <xdr:cNvPr id="776" name="Shape 241">
          <a:extLst>
            <a:ext uri="{FF2B5EF4-FFF2-40B4-BE49-F238E27FC236}">
              <a16:creationId xmlns:a16="http://schemas.microsoft.com/office/drawing/2014/main" id="{4928CA4F-8EC4-4A7B-9029-D7E2B6A6AACF}"/>
            </a:ext>
          </a:extLst>
        </xdr:cNvPr>
        <xdr:cNvSpPr/>
      </xdr:nvSpPr>
      <xdr:spPr>
        <a:xfrm>
          <a:off x="1650745" y="614314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304</xdr:row>
      <xdr:rowOff>6348</xdr:rowOff>
    </xdr:from>
    <xdr:ext cx="828675" cy="0"/>
    <xdr:sp macro="" textlink="">
      <xdr:nvSpPr>
        <xdr:cNvPr id="777" name="Shape 242">
          <a:extLst>
            <a:ext uri="{FF2B5EF4-FFF2-40B4-BE49-F238E27FC236}">
              <a16:creationId xmlns:a16="http://schemas.microsoft.com/office/drawing/2014/main" id="{54BF6E4F-266E-4C7C-93B1-03FEDF08CBA7}"/>
            </a:ext>
          </a:extLst>
        </xdr:cNvPr>
        <xdr:cNvSpPr/>
      </xdr:nvSpPr>
      <xdr:spPr>
        <a:xfrm>
          <a:off x="550037" y="614311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304</xdr:row>
      <xdr:rowOff>6348</xdr:rowOff>
    </xdr:from>
    <xdr:ext cx="371475" cy="0"/>
    <xdr:sp macro="" textlink="">
      <xdr:nvSpPr>
        <xdr:cNvPr id="778" name="Shape 243">
          <a:extLst>
            <a:ext uri="{FF2B5EF4-FFF2-40B4-BE49-F238E27FC236}">
              <a16:creationId xmlns:a16="http://schemas.microsoft.com/office/drawing/2014/main" id="{B77F665A-5181-4EF2-AB0E-50CF37B36CC4}"/>
            </a:ext>
          </a:extLst>
        </xdr:cNvPr>
        <xdr:cNvSpPr/>
      </xdr:nvSpPr>
      <xdr:spPr>
        <a:xfrm>
          <a:off x="8854440" y="614311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305</xdr:row>
      <xdr:rowOff>21969</xdr:rowOff>
    </xdr:from>
    <xdr:ext cx="114300" cy="114300"/>
    <xdr:pic>
      <xdr:nvPicPr>
        <xdr:cNvPr id="779" name="image1.png">
          <a:extLst>
            <a:ext uri="{FF2B5EF4-FFF2-40B4-BE49-F238E27FC236}">
              <a16:creationId xmlns:a16="http://schemas.microsoft.com/office/drawing/2014/main" id="{2D46573A-16A8-4FFA-BE75-D549753E0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16449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308</xdr:row>
      <xdr:rowOff>253</xdr:rowOff>
    </xdr:from>
    <xdr:ext cx="2141855" cy="0"/>
    <xdr:sp macro="" textlink="">
      <xdr:nvSpPr>
        <xdr:cNvPr id="780" name="Shape 245">
          <a:extLst>
            <a:ext uri="{FF2B5EF4-FFF2-40B4-BE49-F238E27FC236}">
              <a16:creationId xmlns:a16="http://schemas.microsoft.com/office/drawing/2014/main" id="{64847211-9D12-4C3C-8075-7A0DC3F1F5DE}"/>
            </a:ext>
          </a:extLst>
        </xdr:cNvPr>
        <xdr:cNvSpPr/>
      </xdr:nvSpPr>
      <xdr:spPr>
        <a:xfrm>
          <a:off x="1650745" y="623166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308</xdr:row>
      <xdr:rowOff>-1</xdr:rowOff>
    </xdr:from>
    <xdr:ext cx="828675" cy="0"/>
    <xdr:sp macro="" textlink="">
      <xdr:nvSpPr>
        <xdr:cNvPr id="781" name="Shape 246">
          <a:extLst>
            <a:ext uri="{FF2B5EF4-FFF2-40B4-BE49-F238E27FC236}">
              <a16:creationId xmlns:a16="http://schemas.microsoft.com/office/drawing/2014/main" id="{144A1981-58EF-4715-B347-198C29158A10}"/>
            </a:ext>
          </a:extLst>
        </xdr:cNvPr>
        <xdr:cNvSpPr/>
      </xdr:nvSpPr>
      <xdr:spPr>
        <a:xfrm>
          <a:off x="550037" y="6231635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308</xdr:row>
      <xdr:rowOff>-1</xdr:rowOff>
    </xdr:from>
    <xdr:ext cx="371475" cy="0"/>
    <xdr:sp macro="" textlink="">
      <xdr:nvSpPr>
        <xdr:cNvPr id="782" name="Shape 247">
          <a:extLst>
            <a:ext uri="{FF2B5EF4-FFF2-40B4-BE49-F238E27FC236}">
              <a16:creationId xmlns:a16="http://schemas.microsoft.com/office/drawing/2014/main" id="{3062763F-8B57-4B0A-BFA1-A1D558EF8E7F}"/>
            </a:ext>
          </a:extLst>
        </xdr:cNvPr>
        <xdr:cNvSpPr/>
      </xdr:nvSpPr>
      <xdr:spPr>
        <a:xfrm>
          <a:off x="8854440" y="6231635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309</xdr:row>
      <xdr:rowOff>15619</xdr:rowOff>
    </xdr:from>
    <xdr:ext cx="114300" cy="114300"/>
    <xdr:pic>
      <xdr:nvPicPr>
        <xdr:cNvPr id="783" name="image1.png">
          <a:extLst>
            <a:ext uri="{FF2B5EF4-FFF2-40B4-BE49-F238E27FC236}">
              <a16:creationId xmlns:a16="http://schemas.microsoft.com/office/drawing/2014/main" id="{8220CC08-BC79-4F70-B9F4-BDB6B679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253009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312</xdr:row>
      <xdr:rowOff>6603</xdr:rowOff>
    </xdr:from>
    <xdr:ext cx="2141855" cy="0"/>
    <xdr:sp macro="" textlink="">
      <xdr:nvSpPr>
        <xdr:cNvPr id="784" name="Shape 249">
          <a:extLst>
            <a:ext uri="{FF2B5EF4-FFF2-40B4-BE49-F238E27FC236}">
              <a16:creationId xmlns:a16="http://schemas.microsoft.com/office/drawing/2014/main" id="{5347F4CA-67D9-4E03-AF04-D135D9A0CF03}"/>
            </a:ext>
          </a:extLst>
        </xdr:cNvPr>
        <xdr:cNvSpPr/>
      </xdr:nvSpPr>
      <xdr:spPr>
        <a:xfrm>
          <a:off x="1650745" y="631992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312</xdr:row>
      <xdr:rowOff>6348</xdr:rowOff>
    </xdr:from>
    <xdr:ext cx="828675" cy="0"/>
    <xdr:sp macro="" textlink="">
      <xdr:nvSpPr>
        <xdr:cNvPr id="785" name="Shape 250">
          <a:extLst>
            <a:ext uri="{FF2B5EF4-FFF2-40B4-BE49-F238E27FC236}">
              <a16:creationId xmlns:a16="http://schemas.microsoft.com/office/drawing/2014/main" id="{C1B1B1A8-E802-4DF2-BB41-3A1516405252}"/>
            </a:ext>
          </a:extLst>
        </xdr:cNvPr>
        <xdr:cNvSpPr/>
      </xdr:nvSpPr>
      <xdr:spPr>
        <a:xfrm>
          <a:off x="550037" y="6319900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312</xdr:row>
      <xdr:rowOff>6348</xdr:rowOff>
    </xdr:from>
    <xdr:ext cx="371475" cy="0"/>
    <xdr:sp macro="" textlink="">
      <xdr:nvSpPr>
        <xdr:cNvPr id="786" name="Shape 251">
          <a:extLst>
            <a:ext uri="{FF2B5EF4-FFF2-40B4-BE49-F238E27FC236}">
              <a16:creationId xmlns:a16="http://schemas.microsoft.com/office/drawing/2014/main" id="{A08EEBA8-5E1C-4F03-8426-8DFF761C681A}"/>
            </a:ext>
          </a:extLst>
        </xdr:cNvPr>
        <xdr:cNvSpPr/>
      </xdr:nvSpPr>
      <xdr:spPr>
        <a:xfrm>
          <a:off x="8854440" y="6319900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313</xdr:row>
      <xdr:rowOff>21969</xdr:rowOff>
    </xdr:from>
    <xdr:ext cx="114300" cy="114300"/>
    <xdr:pic>
      <xdr:nvPicPr>
        <xdr:cNvPr id="787" name="image1.png">
          <a:extLst>
            <a:ext uri="{FF2B5EF4-FFF2-40B4-BE49-F238E27FC236}">
              <a16:creationId xmlns:a16="http://schemas.microsoft.com/office/drawing/2014/main" id="{C480E273-4E64-45DE-9C74-FC0D0986E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3412749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317</xdr:row>
      <xdr:rowOff>15619</xdr:rowOff>
    </xdr:from>
    <xdr:ext cx="114300" cy="114300"/>
    <xdr:pic>
      <xdr:nvPicPr>
        <xdr:cNvPr id="788" name="image1.png">
          <a:extLst>
            <a:ext uri="{FF2B5EF4-FFF2-40B4-BE49-F238E27FC236}">
              <a16:creationId xmlns:a16="http://schemas.microsoft.com/office/drawing/2014/main" id="{14FD6AB8-F182-4368-9C5B-D164E8CF7B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4297939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321</xdr:row>
      <xdr:rowOff>260348</xdr:rowOff>
    </xdr:from>
    <xdr:ext cx="828675" cy="0"/>
    <xdr:sp macro="" textlink="">
      <xdr:nvSpPr>
        <xdr:cNvPr id="789" name="Shape 254">
          <a:extLst>
            <a:ext uri="{FF2B5EF4-FFF2-40B4-BE49-F238E27FC236}">
              <a16:creationId xmlns:a16="http://schemas.microsoft.com/office/drawing/2014/main" id="{0F4B306B-4DA8-4A3C-8A10-0E15B3DE071E}"/>
            </a:ext>
          </a:extLst>
        </xdr:cNvPr>
        <xdr:cNvSpPr/>
      </xdr:nvSpPr>
      <xdr:spPr>
        <a:xfrm>
          <a:off x="551688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321</xdr:row>
      <xdr:rowOff>260603</xdr:rowOff>
    </xdr:from>
    <xdr:ext cx="2141855" cy="0"/>
    <xdr:sp macro="" textlink="">
      <xdr:nvSpPr>
        <xdr:cNvPr id="790" name="Shape 255">
          <a:extLst>
            <a:ext uri="{FF2B5EF4-FFF2-40B4-BE49-F238E27FC236}">
              <a16:creationId xmlns:a16="http://schemas.microsoft.com/office/drawing/2014/main" id="{46C1ECDA-814E-46D3-92AB-A937395A1E0D}"/>
            </a:ext>
          </a:extLst>
        </xdr:cNvPr>
        <xdr:cNvSpPr/>
      </xdr:nvSpPr>
      <xdr:spPr>
        <a:xfrm>
          <a:off x="1645920" y="650001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321</xdr:row>
      <xdr:rowOff>260348</xdr:rowOff>
    </xdr:from>
    <xdr:ext cx="828675" cy="0"/>
    <xdr:sp macro="" textlink="">
      <xdr:nvSpPr>
        <xdr:cNvPr id="791" name="Shape 256">
          <a:extLst>
            <a:ext uri="{FF2B5EF4-FFF2-40B4-BE49-F238E27FC236}">
              <a16:creationId xmlns:a16="http://schemas.microsoft.com/office/drawing/2014/main" id="{AE739DD0-5685-44DA-9422-D426495D5E4D}"/>
            </a:ext>
          </a:extLst>
        </xdr:cNvPr>
        <xdr:cNvSpPr/>
      </xdr:nvSpPr>
      <xdr:spPr>
        <a:xfrm>
          <a:off x="550037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321</xdr:row>
      <xdr:rowOff>260348</xdr:rowOff>
    </xdr:from>
    <xdr:ext cx="828675" cy="0"/>
    <xdr:sp macro="" textlink="">
      <xdr:nvSpPr>
        <xdr:cNvPr id="792" name="Shape 257">
          <a:extLst>
            <a:ext uri="{FF2B5EF4-FFF2-40B4-BE49-F238E27FC236}">
              <a16:creationId xmlns:a16="http://schemas.microsoft.com/office/drawing/2014/main" id="{32AEF95B-CE1F-43BF-9FFB-9A45F68BF153}"/>
            </a:ext>
          </a:extLst>
        </xdr:cNvPr>
        <xdr:cNvSpPr/>
      </xdr:nvSpPr>
      <xdr:spPr>
        <a:xfrm>
          <a:off x="774192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321</xdr:row>
      <xdr:rowOff>260348</xdr:rowOff>
    </xdr:from>
    <xdr:ext cx="828675" cy="0"/>
    <xdr:sp macro="" textlink="">
      <xdr:nvSpPr>
        <xdr:cNvPr id="793" name="Shape 258">
          <a:extLst>
            <a:ext uri="{FF2B5EF4-FFF2-40B4-BE49-F238E27FC236}">
              <a16:creationId xmlns:a16="http://schemas.microsoft.com/office/drawing/2014/main" id="{14FEE960-5D4E-4553-92A5-1F01AE4010E4}"/>
            </a:ext>
          </a:extLst>
        </xdr:cNvPr>
        <xdr:cNvSpPr/>
      </xdr:nvSpPr>
      <xdr:spPr>
        <a:xfrm>
          <a:off x="4419663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321</xdr:row>
      <xdr:rowOff>260348</xdr:rowOff>
    </xdr:from>
    <xdr:ext cx="828675" cy="0"/>
    <xdr:sp macro="" textlink="">
      <xdr:nvSpPr>
        <xdr:cNvPr id="794" name="Shape 259">
          <a:extLst>
            <a:ext uri="{FF2B5EF4-FFF2-40B4-BE49-F238E27FC236}">
              <a16:creationId xmlns:a16="http://schemas.microsoft.com/office/drawing/2014/main" id="{BDDC63E8-D01F-4DA1-BD0C-841114135026}"/>
            </a:ext>
          </a:extLst>
        </xdr:cNvPr>
        <xdr:cNvSpPr/>
      </xdr:nvSpPr>
      <xdr:spPr>
        <a:xfrm>
          <a:off x="6629400" y="649998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321</xdr:row>
      <xdr:rowOff>260348</xdr:rowOff>
    </xdr:from>
    <xdr:ext cx="371475" cy="0"/>
    <xdr:sp macro="" textlink="">
      <xdr:nvSpPr>
        <xdr:cNvPr id="795" name="Shape 260">
          <a:extLst>
            <a:ext uri="{FF2B5EF4-FFF2-40B4-BE49-F238E27FC236}">
              <a16:creationId xmlns:a16="http://schemas.microsoft.com/office/drawing/2014/main" id="{251C91E8-54B0-4944-B06A-E9522FEB65F0}"/>
            </a:ext>
          </a:extLst>
        </xdr:cNvPr>
        <xdr:cNvSpPr/>
      </xdr:nvSpPr>
      <xdr:spPr>
        <a:xfrm>
          <a:off x="8854440" y="649998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322</xdr:row>
      <xdr:rowOff>21969</xdr:rowOff>
    </xdr:from>
    <xdr:ext cx="114300" cy="114300"/>
    <xdr:pic>
      <xdr:nvPicPr>
        <xdr:cNvPr id="796" name="image1.png">
          <a:extLst>
            <a:ext uri="{FF2B5EF4-FFF2-40B4-BE49-F238E27FC236}">
              <a16:creationId xmlns:a16="http://schemas.microsoft.com/office/drawing/2014/main" id="{8831C082-223D-4311-9CD2-CA23B980E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52110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325</xdr:row>
      <xdr:rowOff>253</xdr:rowOff>
    </xdr:from>
    <xdr:ext cx="2141855" cy="0"/>
    <xdr:sp macro="" textlink="">
      <xdr:nvSpPr>
        <xdr:cNvPr id="797" name="Shape 262">
          <a:extLst>
            <a:ext uri="{FF2B5EF4-FFF2-40B4-BE49-F238E27FC236}">
              <a16:creationId xmlns:a16="http://schemas.microsoft.com/office/drawing/2014/main" id="{16600525-7049-443D-AD31-513FC2C36EF6}"/>
            </a:ext>
          </a:extLst>
        </xdr:cNvPr>
        <xdr:cNvSpPr/>
      </xdr:nvSpPr>
      <xdr:spPr>
        <a:xfrm>
          <a:off x="1646173" y="658827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325</xdr:row>
      <xdr:rowOff>-1</xdr:rowOff>
    </xdr:from>
    <xdr:ext cx="828675" cy="0"/>
    <xdr:sp macro="" textlink="">
      <xdr:nvSpPr>
        <xdr:cNvPr id="798" name="Shape 263">
          <a:extLst>
            <a:ext uri="{FF2B5EF4-FFF2-40B4-BE49-F238E27FC236}">
              <a16:creationId xmlns:a16="http://schemas.microsoft.com/office/drawing/2014/main" id="{A25BFA5D-F06C-44F8-92FD-06E9D201886D}"/>
            </a:ext>
          </a:extLst>
        </xdr:cNvPr>
        <xdr:cNvSpPr/>
      </xdr:nvSpPr>
      <xdr:spPr>
        <a:xfrm>
          <a:off x="548640" y="6588251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325</xdr:row>
      <xdr:rowOff>-1</xdr:rowOff>
    </xdr:from>
    <xdr:ext cx="371475" cy="0"/>
    <xdr:sp macro="" textlink="">
      <xdr:nvSpPr>
        <xdr:cNvPr id="799" name="Shape 264">
          <a:extLst>
            <a:ext uri="{FF2B5EF4-FFF2-40B4-BE49-F238E27FC236}">
              <a16:creationId xmlns:a16="http://schemas.microsoft.com/office/drawing/2014/main" id="{62D349F7-E3E9-4273-82DC-FE8401905A6C}"/>
            </a:ext>
          </a:extLst>
        </xdr:cNvPr>
        <xdr:cNvSpPr/>
      </xdr:nvSpPr>
      <xdr:spPr>
        <a:xfrm>
          <a:off x="8854440" y="6588251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326</xdr:row>
      <xdr:rowOff>15619</xdr:rowOff>
    </xdr:from>
    <xdr:ext cx="114300" cy="114300"/>
    <xdr:pic>
      <xdr:nvPicPr>
        <xdr:cNvPr id="800" name="image1.png">
          <a:extLst>
            <a:ext uri="{FF2B5EF4-FFF2-40B4-BE49-F238E27FC236}">
              <a16:creationId xmlns:a16="http://schemas.microsoft.com/office/drawing/2014/main" id="{4341AA54-A221-4A66-A98E-4790D6B61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60962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253</xdr:colOff>
      <xdr:row>329</xdr:row>
      <xdr:rowOff>6603</xdr:rowOff>
    </xdr:from>
    <xdr:ext cx="2141855" cy="0"/>
    <xdr:sp macro="" textlink="">
      <xdr:nvSpPr>
        <xdr:cNvPr id="801" name="Shape 266">
          <a:extLst>
            <a:ext uri="{FF2B5EF4-FFF2-40B4-BE49-F238E27FC236}">
              <a16:creationId xmlns:a16="http://schemas.microsoft.com/office/drawing/2014/main" id="{C49FE5AC-EDB8-4F45-BEE3-EEF9708E599A}"/>
            </a:ext>
          </a:extLst>
        </xdr:cNvPr>
        <xdr:cNvSpPr/>
      </xdr:nvSpPr>
      <xdr:spPr>
        <a:xfrm>
          <a:off x="1646173" y="667654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329</xdr:row>
      <xdr:rowOff>6348</xdr:rowOff>
    </xdr:from>
    <xdr:ext cx="828675" cy="0"/>
    <xdr:sp macro="" textlink="">
      <xdr:nvSpPr>
        <xdr:cNvPr id="802" name="Shape 267">
          <a:extLst>
            <a:ext uri="{FF2B5EF4-FFF2-40B4-BE49-F238E27FC236}">
              <a16:creationId xmlns:a16="http://schemas.microsoft.com/office/drawing/2014/main" id="{77C6AAD8-675C-4787-A3D6-6A2E406A05DD}"/>
            </a:ext>
          </a:extLst>
        </xdr:cNvPr>
        <xdr:cNvSpPr/>
      </xdr:nvSpPr>
      <xdr:spPr>
        <a:xfrm>
          <a:off x="550037" y="6676516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329</xdr:row>
      <xdr:rowOff>6348</xdr:rowOff>
    </xdr:from>
    <xdr:ext cx="371475" cy="0"/>
    <xdr:sp macro="" textlink="">
      <xdr:nvSpPr>
        <xdr:cNvPr id="803" name="Shape 268">
          <a:extLst>
            <a:ext uri="{FF2B5EF4-FFF2-40B4-BE49-F238E27FC236}">
              <a16:creationId xmlns:a16="http://schemas.microsoft.com/office/drawing/2014/main" id="{BDEB02DD-A567-4F99-BE6C-8943C4798595}"/>
            </a:ext>
          </a:extLst>
        </xdr:cNvPr>
        <xdr:cNvSpPr/>
      </xdr:nvSpPr>
      <xdr:spPr>
        <a:xfrm>
          <a:off x="8854440" y="6676516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332</xdr:row>
      <xdr:rowOff>21969</xdr:rowOff>
    </xdr:from>
    <xdr:ext cx="114300" cy="114300"/>
    <xdr:pic>
      <xdr:nvPicPr>
        <xdr:cNvPr id="804" name="image1.png">
          <a:extLst>
            <a:ext uri="{FF2B5EF4-FFF2-40B4-BE49-F238E27FC236}">
              <a16:creationId xmlns:a16="http://schemas.microsoft.com/office/drawing/2014/main" id="{063F43A5-A637-473C-90E8-D2B7D9A64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72837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21589</xdr:colOff>
      <xdr:row>335</xdr:row>
      <xdr:rowOff>6605</xdr:rowOff>
    </xdr:from>
    <xdr:ext cx="2141855" cy="0"/>
    <xdr:sp macro="" textlink="">
      <xdr:nvSpPr>
        <xdr:cNvPr id="805" name="Shape 270">
          <a:extLst>
            <a:ext uri="{FF2B5EF4-FFF2-40B4-BE49-F238E27FC236}">
              <a16:creationId xmlns:a16="http://schemas.microsoft.com/office/drawing/2014/main" id="{80D1095A-407B-4CD3-8AE1-6B5DC4A829A5}"/>
            </a:ext>
          </a:extLst>
        </xdr:cNvPr>
        <xdr:cNvSpPr/>
      </xdr:nvSpPr>
      <xdr:spPr>
        <a:xfrm>
          <a:off x="1667509" y="678550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335</xdr:row>
      <xdr:rowOff>6351</xdr:rowOff>
    </xdr:from>
    <xdr:ext cx="828675" cy="0"/>
    <xdr:sp macro="" textlink="">
      <xdr:nvSpPr>
        <xdr:cNvPr id="806" name="Shape 271">
          <a:extLst>
            <a:ext uri="{FF2B5EF4-FFF2-40B4-BE49-F238E27FC236}">
              <a16:creationId xmlns:a16="http://schemas.microsoft.com/office/drawing/2014/main" id="{B4685EDE-ECA6-4309-9205-580931C5513D}"/>
            </a:ext>
          </a:extLst>
        </xdr:cNvPr>
        <xdr:cNvSpPr/>
      </xdr:nvSpPr>
      <xdr:spPr>
        <a:xfrm>
          <a:off x="550037" y="678548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335</xdr:row>
      <xdr:rowOff>6351</xdr:rowOff>
    </xdr:from>
    <xdr:ext cx="371475" cy="0"/>
    <xdr:sp macro="" textlink="">
      <xdr:nvSpPr>
        <xdr:cNvPr id="807" name="Shape 272">
          <a:extLst>
            <a:ext uri="{FF2B5EF4-FFF2-40B4-BE49-F238E27FC236}">
              <a16:creationId xmlns:a16="http://schemas.microsoft.com/office/drawing/2014/main" id="{B655A9BA-FCCC-4FCE-8A55-F0E633BCBDF2}"/>
            </a:ext>
          </a:extLst>
        </xdr:cNvPr>
        <xdr:cNvSpPr/>
      </xdr:nvSpPr>
      <xdr:spPr>
        <a:xfrm>
          <a:off x="8854440" y="678548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337</xdr:row>
      <xdr:rowOff>21971</xdr:rowOff>
    </xdr:from>
    <xdr:ext cx="114300" cy="114300"/>
    <xdr:pic>
      <xdr:nvPicPr>
        <xdr:cNvPr id="808" name="image1.png">
          <a:extLst>
            <a:ext uri="{FF2B5EF4-FFF2-40B4-BE49-F238E27FC236}">
              <a16:creationId xmlns:a16="http://schemas.microsoft.com/office/drawing/2014/main" id="{8CF3A382-4E78-41C1-889F-B5278D451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82209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21589</xdr:colOff>
      <xdr:row>340</xdr:row>
      <xdr:rowOff>255</xdr:rowOff>
    </xdr:from>
    <xdr:ext cx="2141855" cy="0"/>
    <xdr:sp macro="" textlink="">
      <xdr:nvSpPr>
        <xdr:cNvPr id="809" name="Shape 274">
          <a:extLst>
            <a:ext uri="{FF2B5EF4-FFF2-40B4-BE49-F238E27FC236}">
              <a16:creationId xmlns:a16="http://schemas.microsoft.com/office/drawing/2014/main" id="{2F5CB610-BC57-4FA9-83AD-7506B45377CF}"/>
            </a:ext>
          </a:extLst>
        </xdr:cNvPr>
        <xdr:cNvSpPr/>
      </xdr:nvSpPr>
      <xdr:spPr>
        <a:xfrm>
          <a:off x="1667509" y="6889267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340</xdr:row>
      <xdr:rowOff>1</xdr:rowOff>
    </xdr:from>
    <xdr:ext cx="828675" cy="0"/>
    <xdr:sp macro="" textlink="">
      <xdr:nvSpPr>
        <xdr:cNvPr id="810" name="Shape 275">
          <a:extLst>
            <a:ext uri="{FF2B5EF4-FFF2-40B4-BE49-F238E27FC236}">
              <a16:creationId xmlns:a16="http://schemas.microsoft.com/office/drawing/2014/main" id="{4C451A1C-4886-4B9B-AA61-4D2CD8718EE5}"/>
            </a:ext>
          </a:extLst>
        </xdr:cNvPr>
        <xdr:cNvSpPr/>
      </xdr:nvSpPr>
      <xdr:spPr>
        <a:xfrm>
          <a:off x="550037" y="688924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340</xdr:row>
      <xdr:rowOff>1</xdr:rowOff>
    </xdr:from>
    <xdr:ext cx="371475" cy="0"/>
    <xdr:sp macro="" textlink="">
      <xdr:nvSpPr>
        <xdr:cNvPr id="811" name="Shape 276">
          <a:extLst>
            <a:ext uri="{FF2B5EF4-FFF2-40B4-BE49-F238E27FC236}">
              <a16:creationId xmlns:a16="http://schemas.microsoft.com/office/drawing/2014/main" id="{9AB6C3A7-1CB8-4CB2-8EC1-A18CA2597AB7}"/>
            </a:ext>
          </a:extLst>
        </xdr:cNvPr>
        <xdr:cNvSpPr/>
      </xdr:nvSpPr>
      <xdr:spPr>
        <a:xfrm>
          <a:off x="8854440" y="6889242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341</xdr:row>
      <xdr:rowOff>15621</xdr:rowOff>
    </xdr:from>
    <xdr:ext cx="114300" cy="114300"/>
    <xdr:pic>
      <xdr:nvPicPr>
        <xdr:cNvPr id="812" name="image1.png">
          <a:extLst>
            <a:ext uri="{FF2B5EF4-FFF2-40B4-BE49-F238E27FC236}">
              <a16:creationId xmlns:a16="http://schemas.microsoft.com/office/drawing/2014/main" id="{5B376185-7A45-47CB-BA9E-1F2062182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910616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343</xdr:row>
      <xdr:rowOff>324105</xdr:rowOff>
    </xdr:from>
    <xdr:ext cx="2141855" cy="0"/>
    <xdr:sp macro="" textlink="">
      <xdr:nvSpPr>
        <xdr:cNvPr id="813" name="Shape 278">
          <a:extLst>
            <a:ext uri="{FF2B5EF4-FFF2-40B4-BE49-F238E27FC236}">
              <a16:creationId xmlns:a16="http://schemas.microsoft.com/office/drawing/2014/main" id="{6C78CDE7-3A5B-4547-B3B7-F118AB8E6665}"/>
            </a:ext>
          </a:extLst>
        </xdr:cNvPr>
        <xdr:cNvSpPr/>
      </xdr:nvSpPr>
      <xdr:spPr>
        <a:xfrm>
          <a:off x="1668834" y="6978040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0</xdr:colOff>
      <xdr:row>343</xdr:row>
      <xdr:rowOff>323851</xdr:rowOff>
    </xdr:from>
    <xdr:ext cx="828675" cy="0"/>
    <xdr:sp macro="" textlink="">
      <xdr:nvSpPr>
        <xdr:cNvPr id="814" name="Shape 279">
          <a:extLst>
            <a:ext uri="{FF2B5EF4-FFF2-40B4-BE49-F238E27FC236}">
              <a16:creationId xmlns:a16="http://schemas.microsoft.com/office/drawing/2014/main" id="{669E6410-37CE-429B-A865-F0FF06D1CDA2}"/>
            </a:ext>
          </a:extLst>
        </xdr:cNvPr>
        <xdr:cNvSpPr/>
      </xdr:nvSpPr>
      <xdr:spPr>
        <a:xfrm>
          <a:off x="548640" y="6978015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17907</xdr:colOff>
      <xdr:row>343</xdr:row>
      <xdr:rowOff>323851</xdr:rowOff>
    </xdr:from>
    <xdr:ext cx="828675" cy="0"/>
    <xdr:sp macro="" textlink="">
      <xdr:nvSpPr>
        <xdr:cNvPr id="815" name="Shape 280">
          <a:extLst>
            <a:ext uri="{FF2B5EF4-FFF2-40B4-BE49-F238E27FC236}">
              <a16:creationId xmlns:a16="http://schemas.microsoft.com/office/drawing/2014/main" id="{1A7628D5-452E-45E5-9886-460464C67BA8}"/>
            </a:ext>
          </a:extLst>
        </xdr:cNvPr>
        <xdr:cNvSpPr/>
      </xdr:nvSpPr>
      <xdr:spPr>
        <a:xfrm>
          <a:off x="4437507" y="6978015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343</xdr:row>
      <xdr:rowOff>323851</xdr:rowOff>
    </xdr:from>
    <xdr:ext cx="371475" cy="0"/>
    <xdr:sp macro="" textlink="">
      <xdr:nvSpPr>
        <xdr:cNvPr id="816" name="Shape 281">
          <a:extLst>
            <a:ext uri="{FF2B5EF4-FFF2-40B4-BE49-F238E27FC236}">
              <a16:creationId xmlns:a16="http://schemas.microsoft.com/office/drawing/2014/main" id="{4058A88B-62E7-4660-9559-2FA7862B45B2}"/>
            </a:ext>
          </a:extLst>
        </xdr:cNvPr>
        <xdr:cNvSpPr/>
      </xdr:nvSpPr>
      <xdr:spPr>
        <a:xfrm>
          <a:off x="8837421" y="6978015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345</xdr:row>
      <xdr:rowOff>3176</xdr:rowOff>
    </xdr:from>
    <xdr:ext cx="828675" cy="0"/>
    <xdr:sp macro="" textlink="">
      <xdr:nvSpPr>
        <xdr:cNvPr id="817" name="Shape 282">
          <a:extLst>
            <a:ext uri="{FF2B5EF4-FFF2-40B4-BE49-F238E27FC236}">
              <a16:creationId xmlns:a16="http://schemas.microsoft.com/office/drawing/2014/main" id="{9C2D3A30-8C19-43BC-AD9B-60CA71C6FD0A}"/>
            </a:ext>
          </a:extLst>
        </xdr:cNvPr>
        <xdr:cNvSpPr/>
      </xdr:nvSpPr>
      <xdr:spPr>
        <a:xfrm>
          <a:off x="4424807" y="6997763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345</xdr:row>
      <xdr:rowOff>21971</xdr:rowOff>
    </xdr:from>
    <xdr:ext cx="114300" cy="114300"/>
    <xdr:pic>
      <xdr:nvPicPr>
        <xdr:cNvPr id="818" name="image1.png">
          <a:extLst>
            <a:ext uri="{FF2B5EF4-FFF2-40B4-BE49-F238E27FC236}">
              <a16:creationId xmlns:a16="http://schemas.microsoft.com/office/drawing/2014/main" id="{0B7C8C16-12CE-45AD-9A05-67B95AB5B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6999643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348</xdr:row>
      <xdr:rowOff>255</xdr:rowOff>
    </xdr:from>
    <xdr:ext cx="2141855" cy="0"/>
    <xdr:sp macro="" textlink="">
      <xdr:nvSpPr>
        <xdr:cNvPr id="819" name="Shape 284">
          <a:extLst>
            <a:ext uri="{FF2B5EF4-FFF2-40B4-BE49-F238E27FC236}">
              <a16:creationId xmlns:a16="http://schemas.microsoft.com/office/drawing/2014/main" id="{95C9B6A1-92C6-4018-B3E7-AEF8DCBFE3F3}"/>
            </a:ext>
          </a:extLst>
        </xdr:cNvPr>
        <xdr:cNvSpPr/>
      </xdr:nvSpPr>
      <xdr:spPr>
        <a:xfrm>
          <a:off x="1650745" y="7066813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348</xdr:row>
      <xdr:rowOff>1</xdr:rowOff>
    </xdr:from>
    <xdr:ext cx="828675" cy="0"/>
    <xdr:sp macro="" textlink="">
      <xdr:nvSpPr>
        <xdr:cNvPr id="820" name="Shape 285">
          <a:extLst>
            <a:ext uri="{FF2B5EF4-FFF2-40B4-BE49-F238E27FC236}">
              <a16:creationId xmlns:a16="http://schemas.microsoft.com/office/drawing/2014/main" id="{DDBF9454-6BF8-487D-8FC7-191D3D86D7B6}"/>
            </a:ext>
          </a:extLst>
        </xdr:cNvPr>
        <xdr:cNvSpPr/>
      </xdr:nvSpPr>
      <xdr:spPr>
        <a:xfrm>
          <a:off x="550037" y="7066788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348</xdr:row>
      <xdr:rowOff>1</xdr:rowOff>
    </xdr:from>
    <xdr:ext cx="828675" cy="0"/>
    <xdr:sp macro="" textlink="">
      <xdr:nvSpPr>
        <xdr:cNvPr id="821" name="Shape 286">
          <a:extLst>
            <a:ext uri="{FF2B5EF4-FFF2-40B4-BE49-F238E27FC236}">
              <a16:creationId xmlns:a16="http://schemas.microsoft.com/office/drawing/2014/main" id="{61977B3C-1D2A-41A2-AA93-71A113B73655}"/>
            </a:ext>
          </a:extLst>
        </xdr:cNvPr>
        <xdr:cNvSpPr/>
      </xdr:nvSpPr>
      <xdr:spPr>
        <a:xfrm>
          <a:off x="4403804" y="7066788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348</xdr:row>
      <xdr:rowOff>1</xdr:rowOff>
    </xdr:from>
    <xdr:ext cx="371475" cy="0"/>
    <xdr:sp macro="" textlink="">
      <xdr:nvSpPr>
        <xdr:cNvPr id="822" name="Shape 287">
          <a:extLst>
            <a:ext uri="{FF2B5EF4-FFF2-40B4-BE49-F238E27FC236}">
              <a16:creationId xmlns:a16="http://schemas.microsoft.com/office/drawing/2014/main" id="{9EFAE32A-5039-40EB-8C2C-68E4701E1886}"/>
            </a:ext>
          </a:extLst>
        </xdr:cNvPr>
        <xdr:cNvSpPr/>
      </xdr:nvSpPr>
      <xdr:spPr>
        <a:xfrm>
          <a:off x="8854440" y="7066788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350</xdr:row>
      <xdr:rowOff>187326</xdr:rowOff>
    </xdr:from>
    <xdr:ext cx="828675" cy="0"/>
    <xdr:sp macro="" textlink="">
      <xdr:nvSpPr>
        <xdr:cNvPr id="823" name="Shape 288">
          <a:extLst>
            <a:ext uri="{FF2B5EF4-FFF2-40B4-BE49-F238E27FC236}">
              <a16:creationId xmlns:a16="http://schemas.microsoft.com/office/drawing/2014/main" id="{0D01D1A0-C88D-4C09-99EA-028B9DEAA5B1}"/>
            </a:ext>
          </a:extLst>
        </xdr:cNvPr>
        <xdr:cNvSpPr/>
      </xdr:nvSpPr>
      <xdr:spPr>
        <a:xfrm>
          <a:off x="4424807" y="7116762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351</xdr:row>
      <xdr:rowOff>15621</xdr:rowOff>
    </xdr:from>
    <xdr:ext cx="114300" cy="114300"/>
    <xdr:pic>
      <xdr:nvPicPr>
        <xdr:cNvPr id="824" name="image1.png">
          <a:extLst>
            <a:ext uri="{FF2B5EF4-FFF2-40B4-BE49-F238E27FC236}">
              <a16:creationId xmlns:a16="http://schemas.microsoft.com/office/drawing/2014/main" id="{D360F2CF-566C-4B32-B6FC-06F642B2E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118642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354</xdr:row>
      <xdr:rowOff>6605</xdr:rowOff>
    </xdr:from>
    <xdr:ext cx="2141855" cy="0"/>
    <xdr:sp macro="" textlink="">
      <xdr:nvSpPr>
        <xdr:cNvPr id="825" name="Shape 290">
          <a:extLst>
            <a:ext uri="{FF2B5EF4-FFF2-40B4-BE49-F238E27FC236}">
              <a16:creationId xmlns:a16="http://schemas.microsoft.com/office/drawing/2014/main" id="{958793D6-5F0D-4D28-A6DA-310A49BF4EDB}"/>
            </a:ext>
          </a:extLst>
        </xdr:cNvPr>
        <xdr:cNvSpPr/>
      </xdr:nvSpPr>
      <xdr:spPr>
        <a:xfrm>
          <a:off x="1650745" y="7185558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354</xdr:row>
      <xdr:rowOff>6351</xdr:rowOff>
    </xdr:from>
    <xdr:ext cx="828675" cy="0"/>
    <xdr:sp macro="" textlink="">
      <xdr:nvSpPr>
        <xdr:cNvPr id="826" name="Shape 291">
          <a:extLst>
            <a:ext uri="{FF2B5EF4-FFF2-40B4-BE49-F238E27FC236}">
              <a16:creationId xmlns:a16="http://schemas.microsoft.com/office/drawing/2014/main" id="{2CEF0331-ADEF-4FCD-8322-FA5B80D9AF5B}"/>
            </a:ext>
          </a:extLst>
        </xdr:cNvPr>
        <xdr:cNvSpPr/>
      </xdr:nvSpPr>
      <xdr:spPr>
        <a:xfrm>
          <a:off x="550037" y="71855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354</xdr:row>
      <xdr:rowOff>6351</xdr:rowOff>
    </xdr:from>
    <xdr:ext cx="828675" cy="0"/>
    <xdr:sp macro="" textlink="">
      <xdr:nvSpPr>
        <xdr:cNvPr id="827" name="Shape 292">
          <a:extLst>
            <a:ext uri="{FF2B5EF4-FFF2-40B4-BE49-F238E27FC236}">
              <a16:creationId xmlns:a16="http://schemas.microsoft.com/office/drawing/2014/main" id="{ED4554B7-2FCC-4510-90E6-5582E8701DBE}"/>
            </a:ext>
          </a:extLst>
        </xdr:cNvPr>
        <xdr:cNvSpPr/>
      </xdr:nvSpPr>
      <xdr:spPr>
        <a:xfrm>
          <a:off x="4403804" y="7185533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354</xdr:row>
      <xdr:rowOff>6351</xdr:rowOff>
    </xdr:from>
    <xdr:ext cx="371475" cy="0"/>
    <xdr:sp macro="" textlink="">
      <xdr:nvSpPr>
        <xdr:cNvPr id="828" name="Shape 293">
          <a:extLst>
            <a:ext uri="{FF2B5EF4-FFF2-40B4-BE49-F238E27FC236}">
              <a16:creationId xmlns:a16="http://schemas.microsoft.com/office/drawing/2014/main" id="{F46F63D2-A50A-4154-96F7-F56736F79484}"/>
            </a:ext>
          </a:extLst>
        </xdr:cNvPr>
        <xdr:cNvSpPr/>
      </xdr:nvSpPr>
      <xdr:spPr>
        <a:xfrm>
          <a:off x="8854440" y="7185533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355</xdr:row>
      <xdr:rowOff>3176</xdr:rowOff>
    </xdr:from>
    <xdr:ext cx="828675" cy="0"/>
    <xdr:sp macro="" textlink="">
      <xdr:nvSpPr>
        <xdr:cNvPr id="829" name="Shape 294">
          <a:extLst>
            <a:ext uri="{FF2B5EF4-FFF2-40B4-BE49-F238E27FC236}">
              <a16:creationId xmlns:a16="http://schemas.microsoft.com/office/drawing/2014/main" id="{465BB322-3C42-4C07-A8A6-7B4EC7903CDD}"/>
            </a:ext>
          </a:extLst>
        </xdr:cNvPr>
        <xdr:cNvSpPr/>
      </xdr:nvSpPr>
      <xdr:spPr>
        <a:xfrm>
          <a:off x="4424807" y="7205027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355</xdr:row>
      <xdr:rowOff>21971</xdr:rowOff>
    </xdr:from>
    <xdr:ext cx="114300" cy="114300"/>
    <xdr:pic>
      <xdr:nvPicPr>
        <xdr:cNvPr id="830" name="image1.png">
          <a:extLst>
            <a:ext uri="{FF2B5EF4-FFF2-40B4-BE49-F238E27FC236}">
              <a16:creationId xmlns:a16="http://schemas.microsoft.com/office/drawing/2014/main" id="{3AA14A99-985C-4120-B4BC-A49EBA4F7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206907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358</xdr:row>
      <xdr:rowOff>255</xdr:rowOff>
    </xdr:from>
    <xdr:ext cx="2141855" cy="0"/>
    <xdr:sp macro="" textlink="">
      <xdr:nvSpPr>
        <xdr:cNvPr id="831" name="Shape 296">
          <a:extLst>
            <a:ext uri="{FF2B5EF4-FFF2-40B4-BE49-F238E27FC236}">
              <a16:creationId xmlns:a16="http://schemas.microsoft.com/office/drawing/2014/main" id="{5152DE15-C2D7-457A-9131-805D65E5E288}"/>
            </a:ext>
          </a:extLst>
        </xdr:cNvPr>
        <xdr:cNvSpPr/>
      </xdr:nvSpPr>
      <xdr:spPr>
        <a:xfrm>
          <a:off x="1650745" y="7274077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358</xdr:row>
      <xdr:rowOff>1</xdr:rowOff>
    </xdr:from>
    <xdr:ext cx="828675" cy="0"/>
    <xdr:sp macro="" textlink="">
      <xdr:nvSpPr>
        <xdr:cNvPr id="832" name="Shape 297">
          <a:extLst>
            <a:ext uri="{FF2B5EF4-FFF2-40B4-BE49-F238E27FC236}">
              <a16:creationId xmlns:a16="http://schemas.microsoft.com/office/drawing/2014/main" id="{AD039082-0BA2-4AC4-8C8E-B00053D920C1}"/>
            </a:ext>
          </a:extLst>
        </xdr:cNvPr>
        <xdr:cNvSpPr/>
      </xdr:nvSpPr>
      <xdr:spPr>
        <a:xfrm>
          <a:off x="550037" y="727405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358</xdr:row>
      <xdr:rowOff>1</xdr:rowOff>
    </xdr:from>
    <xdr:ext cx="828675" cy="0"/>
    <xdr:sp macro="" textlink="">
      <xdr:nvSpPr>
        <xdr:cNvPr id="833" name="Shape 298">
          <a:extLst>
            <a:ext uri="{FF2B5EF4-FFF2-40B4-BE49-F238E27FC236}">
              <a16:creationId xmlns:a16="http://schemas.microsoft.com/office/drawing/2014/main" id="{7A45189C-767B-4F08-B398-2D7D7FFB3CB4}"/>
            </a:ext>
          </a:extLst>
        </xdr:cNvPr>
        <xdr:cNvSpPr/>
      </xdr:nvSpPr>
      <xdr:spPr>
        <a:xfrm>
          <a:off x="4403804" y="7274052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358</xdr:row>
      <xdr:rowOff>1</xdr:rowOff>
    </xdr:from>
    <xdr:ext cx="371475" cy="0"/>
    <xdr:sp macro="" textlink="">
      <xdr:nvSpPr>
        <xdr:cNvPr id="834" name="Shape 299">
          <a:extLst>
            <a:ext uri="{FF2B5EF4-FFF2-40B4-BE49-F238E27FC236}">
              <a16:creationId xmlns:a16="http://schemas.microsoft.com/office/drawing/2014/main" id="{157E7526-F37A-449F-A8BA-2A3266000CC1}"/>
            </a:ext>
          </a:extLst>
        </xdr:cNvPr>
        <xdr:cNvSpPr/>
      </xdr:nvSpPr>
      <xdr:spPr>
        <a:xfrm>
          <a:off x="8854440" y="7274052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358</xdr:row>
      <xdr:rowOff>200026</xdr:rowOff>
    </xdr:from>
    <xdr:ext cx="828675" cy="0"/>
    <xdr:sp macro="" textlink="">
      <xdr:nvSpPr>
        <xdr:cNvPr id="835" name="Shape 300">
          <a:extLst>
            <a:ext uri="{FF2B5EF4-FFF2-40B4-BE49-F238E27FC236}">
              <a16:creationId xmlns:a16="http://schemas.microsoft.com/office/drawing/2014/main" id="{0D66A5CF-10A4-45D7-8A31-1A3A03F0456F}"/>
            </a:ext>
          </a:extLst>
        </xdr:cNvPr>
        <xdr:cNvSpPr/>
      </xdr:nvSpPr>
      <xdr:spPr>
        <a:xfrm>
          <a:off x="4424807" y="7294054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359</xdr:row>
      <xdr:rowOff>15621</xdr:rowOff>
    </xdr:from>
    <xdr:ext cx="114300" cy="114300"/>
    <xdr:pic>
      <xdr:nvPicPr>
        <xdr:cNvPr id="836" name="image1.png">
          <a:extLst>
            <a:ext uri="{FF2B5EF4-FFF2-40B4-BE49-F238E27FC236}">
              <a16:creationId xmlns:a16="http://schemas.microsoft.com/office/drawing/2014/main" id="{0D2BEB9D-960B-40EB-84B5-28C0E08B3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295426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362</xdr:row>
      <xdr:rowOff>6605</xdr:rowOff>
    </xdr:from>
    <xdr:ext cx="2141855" cy="0"/>
    <xdr:sp macro="" textlink="">
      <xdr:nvSpPr>
        <xdr:cNvPr id="837" name="Shape 302">
          <a:extLst>
            <a:ext uri="{FF2B5EF4-FFF2-40B4-BE49-F238E27FC236}">
              <a16:creationId xmlns:a16="http://schemas.microsoft.com/office/drawing/2014/main" id="{9C64D876-D523-4A08-A67D-981B134FAE00}"/>
            </a:ext>
          </a:extLst>
        </xdr:cNvPr>
        <xdr:cNvSpPr/>
      </xdr:nvSpPr>
      <xdr:spPr>
        <a:xfrm>
          <a:off x="1650745" y="7362342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362</xdr:row>
      <xdr:rowOff>6351</xdr:rowOff>
    </xdr:from>
    <xdr:ext cx="828675" cy="0"/>
    <xdr:sp macro="" textlink="">
      <xdr:nvSpPr>
        <xdr:cNvPr id="838" name="Shape 303">
          <a:extLst>
            <a:ext uri="{FF2B5EF4-FFF2-40B4-BE49-F238E27FC236}">
              <a16:creationId xmlns:a16="http://schemas.microsoft.com/office/drawing/2014/main" id="{84C14701-E515-4029-869F-CDBE4C9EB1FC}"/>
            </a:ext>
          </a:extLst>
        </xdr:cNvPr>
        <xdr:cNvSpPr/>
      </xdr:nvSpPr>
      <xdr:spPr>
        <a:xfrm>
          <a:off x="550037" y="736231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362</xdr:row>
      <xdr:rowOff>6351</xdr:rowOff>
    </xdr:from>
    <xdr:ext cx="828675" cy="0"/>
    <xdr:sp macro="" textlink="">
      <xdr:nvSpPr>
        <xdr:cNvPr id="839" name="Shape 304">
          <a:extLst>
            <a:ext uri="{FF2B5EF4-FFF2-40B4-BE49-F238E27FC236}">
              <a16:creationId xmlns:a16="http://schemas.microsoft.com/office/drawing/2014/main" id="{4D8020B4-6E09-46BB-945E-3F8FC368E8E5}"/>
            </a:ext>
          </a:extLst>
        </xdr:cNvPr>
        <xdr:cNvSpPr/>
      </xdr:nvSpPr>
      <xdr:spPr>
        <a:xfrm>
          <a:off x="4403804" y="7362317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362</xdr:row>
      <xdr:rowOff>6351</xdr:rowOff>
    </xdr:from>
    <xdr:ext cx="371475" cy="0"/>
    <xdr:sp macro="" textlink="">
      <xdr:nvSpPr>
        <xdr:cNvPr id="840" name="Shape 305">
          <a:extLst>
            <a:ext uri="{FF2B5EF4-FFF2-40B4-BE49-F238E27FC236}">
              <a16:creationId xmlns:a16="http://schemas.microsoft.com/office/drawing/2014/main" id="{E2C21965-AB07-467B-BD08-8A3BA382EC82}"/>
            </a:ext>
          </a:extLst>
        </xdr:cNvPr>
        <xdr:cNvSpPr/>
      </xdr:nvSpPr>
      <xdr:spPr>
        <a:xfrm>
          <a:off x="8854440" y="7362317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363</xdr:row>
      <xdr:rowOff>3176</xdr:rowOff>
    </xdr:from>
    <xdr:ext cx="828675" cy="0"/>
    <xdr:sp macro="" textlink="">
      <xdr:nvSpPr>
        <xdr:cNvPr id="841" name="Shape 306">
          <a:extLst>
            <a:ext uri="{FF2B5EF4-FFF2-40B4-BE49-F238E27FC236}">
              <a16:creationId xmlns:a16="http://schemas.microsoft.com/office/drawing/2014/main" id="{1685AA5F-35B3-4778-B4E7-CAB4EEA00D02}"/>
            </a:ext>
          </a:extLst>
        </xdr:cNvPr>
        <xdr:cNvSpPr/>
      </xdr:nvSpPr>
      <xdr:spPr>
        <a:xfrm>
          <a:off x="4424807" y="7381811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363</xdr:row>
      <xdr:rowOff>21971</xdr:rowOff>
    </xdr:from>
    <xdr:ext cx="114300" cy="114300"/>
    <xdr:pic>
      <xdr:nvPicPr>
        <xdr:cNvPr id="842" name="image1.png">
          <a:extLst>
            <a:ext uri="{FF2B5EF4-FFF2-40B4-BE49-F238E27FC236}">
              <a16:creationId xmlns:a16="http://schemas.microsoft.com/office/drawing/2014/main" id="{5886455D-DB6F-453F-BB24-B27783A76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3836911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366</xdr:row>
      <xdr:rowOff>255</xdr:rowOff>
    </xdr:from>
    <xdr:ext cx="2141855" cy="0"/>
    <xdr:sp macro="" textlink="">
      <xdr:nvSpPr>
        <xdr:cNvPr id="843" name="Shape 308">
          <a:extLst>
            <a:ext uri="{FF2B5EF4-FFF2-40B4-BE49-F238E27FC236}">
              <a16:creationId xmlns:a16="http://schemas.microsoft.com/office/drawing/2014/main" id="{B98C5836-9AE8-4DD7-9CE1-235B2DB8AD49}"/>
            </a:ext>
          </a:extLst>
        </xdr:cNvPr>
        <xdr:cNvSpPr/>
      </xdr:nvSpPr>
      <xdr:spPr>
        <a:xfrm>
          <a:off x="1650745" y="74508615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366</xdr:row>
      <xdr:rowOff>1</xdr:rowOff>
    </xdr:from>
    <xdr:ext cx="828675" cy="0"/>
    <xdr:sp macro="" textlink="">
      <xdr:nvSpPr>
        <xdr:cNvPr id="844" name="Shape 309">
          <a:extLst>
            <a:ext uri="{FF2B5EF4-FFF2-40B4-BE49-F238E27FC236}">
              <a16:creationId xmlns:a16="http://schemas.microsoft.com/office/drawing/2014/main" id="{B7586BF3-8816-4AA6-94BA-683A46DA8522}"/>
            </a:ext>
          </a:extLst>
        </xdr:cNvPr>
        <xdr:cNvSpPr/>
      </xdr:nvSpPr>
      <xdr:spPr>
        <a:xfrm>
          <a:off x="550037" y="745083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366</xdr:row>
      <xdr:rowOff>1</xdr:rowOff>
    </xdr:from>
    <xdr:ext cx="828675" cy="0"/>
    <xdr:sp macro="" textlink="">
      <xdr:nvSpPr>
        <xdr:cNvPr id="845" name="Shape 310">
          <a:extLst>
            <a:ext uri="{FF2B5EF4-FFF2-40B4-BE49-F238E27FC236}">
              <a16:creationId xmlns:a16="http://schemas.microsoft.com/office/drawing/2014/main" id="{AA2B5814-447F-49A0-8270-D871B5488808}"/>
            </a:ext>
          </a:extLst>
        </xdr:cNvPr>
        <xdr:cNvSpPr/>
      </xdr:nvSpPr>
      <xdr:spPr>
        <a:xfrm>
          <a:off x="4403804" y="74508361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366</xdr:row>
      <xdr:rowOff>1</xdr:rowOff>
    </xdr:from>
    <xdr:ext cx="371475" cy="0"/>
    <xdr:sp macro="" textlink="">
      <xdr:nvSpPr>
        <xdr:cNvPr id="846" name="Shape 311">
          <a:extLst>
            <a:ext uri="{FF2B5EF4-FFF2-40B4-BE49-F238E27FC236}">
              <a16:creationId xmlns:a16="http://schemas.microsoft.com/office/drawing/2014/main" id="{2D09B084-0372-46DF-B2F0-5BE3E4A84297}"/>
            </a:ext>
          </a:extLst>
        </xdr:cNvPr>
        <xdr:cNvSpPr/>
      </xdr:nvSpPr>
      <xdr:spPr>
        <a:xfrm>
          <a:off x="8854440" y="74508361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366</xdr:row>
      <xdr:rowOff>200026</xdr:rowOff>
    </xdr:from>
    <xdr:ext cx="828675" cy="0"/>
    <xdr:sp macro="" textlink="">
      <xdr:nvSpPr>
        <xdr:cNvPr id="847" name="Shape 312">
          <a:extLst>
            <a:ext uri="{FF2B5EF4-FFF2-40B4-BE49-F238E27FC236}">
              <a16:creationId xmlns:a16="http://schemas.microsoft.com/office/drawing/2014/main" id="{B9BB9065-534C-47BF-A7EA-AA6818696585}"/>
            </a:ext>
          </a:extLst>
        </xdr:cNvPr>
        <xdr:cNvSpPr/>
      </xdr:nvSpPr>
      <xdr:spPr>
        <a:xfrm>
          <a:off x="4424807" y="74708386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367</xdr:row>
      <xdr:rowOff>15621</xdr:rowOff>
    </xdr:from>
    <xdr:ext cx="114300" cy="114300"/>
    <xdr:pic>
      <xdr:nvPicPr>
        <xdr:cNvPr id="848" name="image1.png">
          <a:extLst>
            <a:ext uri="{FF2B5EF4-FFF2-40B4-BE49-F238E27FC236}">
              <a16:creationId xmlns:a16="http://schemas.microsoft.com/office/drawing/2014/main" id="{31AC1A86-995E-4EBC-AFF5-8D139DDB0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4722101"/>
          <a:ext cx="114300" cy="114300"/>
        </a:xfrm>
        <a:prstGeom prst="rect">
          <a:avLst/>
        </a:prstGeom>
      </xdr:spPr>
    </xdr:pic>
    <xdr:clientData/>
  </xdr:oneCellAnchor>
  <xdr:oneCellAnchor>
    <xdr:from>
      <xdr:col>24</xdr:col>
      <xdr:colOff>125603</xdr:colOff>
      <xdr:row>371</xdr:row>
      <xdr:rowOff>21971</xdr:rowOff>
    </xdr:from>
    <xdr:ext cx="114300" cy="114300"/>
    <xdr:pic>
      <xdr:nvPicPr>
        <xdr:cNvPr id="849" name="image1.png">
          <a:extLst>
            <a:ext uri="{FF2B5EF4-FFF2-40B4-BE49-F238E27FC236}">
              <a16:creationId xmlns:a16="http://schemas.microsoft.com/office/drawing/2014/main" id="{CE7B0B6C-D7C9-4238-BBBE-9A31FF490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5612371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374</xdr:row>
      <xdr:rowOff>260347</xdr:rowOff>
    </xdr:from>
    <xdr:ext cx="828675" cy="0"/>
    <xdr:sp macro="" textlink="">
      <xdr:nvSpPr>
        <xdr:cNvPr id="850" name="Shape 315">
          <a:extLst>
            <a:ext uri="{FF2B5EF4-FFF2-40B4-BE49-F238E27FC236}">
              <a16:creationId xmlns:a16="http://schemas.microsoft.com/office/drawing/2014/main" id="{5FF64C31-775D-47F8-B967-99A1CCCC0EB6}"/>
            </a:ext>
          </a:extLst>
        </xdr:cNvPr>
        <xdr:cNvSpPr/>
      </xdr:nvSpPr>
      <xdr:spPr>
        <a:xfrm>
          <a:off x="551688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374</xdr:row>
      <xdr:rowOff>260601</xdr:rowOff>
    </xdr:from>
    <xdr:ext cx="2141855" cy="0"/>
    <xdr:sp macro="" textlink="">
      <xdr:nvSpPr>
        <xdr:cNvPr id="851" name="Shape 316">
          <a:extLst>
            <a:ext uri="{FF2B5EF4-FFF2-40B4-BE49-F238E27FC236}">
              <a16:creationId xmlns:a16="http://schemas.microsoft.com/office/drawing/2014/main" id="{0B98F56D-FE36-4A40-A4D9-E0A03AE27E92}"/>
            </a:ext>
          </a:extLst>
        </xdr:cNvPr>
        <xdr:cNvSpPr/>
      </xdr:nvSpPr>
      <xdr:spPr>
        <a:xfrm>
          <a:off x="1645920" y="7620152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374</xdr:row>
      <xdr:rowOff>260347</xdr:rowOff>
    </xdr:from>
    <xdr:ext cx="828675" cy="0"/>
    <xdr:sp macro="" textlink="">
      <xdr:nvSpPr>
        <xdr:cNvPr id="852" name="Shape 317">
          <a:extLst>
            <a:ext uri="{FF2B5EF4-FFF2-40B4-BE49-F238E27FC236}">
              <a16:creationId xmlns:a16="http://schemas.microsoft.com/office/drawing/2014/main" id="{D485796A-3BC4-4B42-9FFD-AF818863D51A}"/>
            </a:ext>
          </a:extLst>
        </xdr:cNvPr>
        <xdr:cNvSpPr/>
      </xdr:nvSpPr>
      <xdr:spPr>
        <a:xfrm>
          <a:off x="550037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374</xdr:row>
      <xdr:rowOff>260347</xdr:rowOff>
    </xdr:from>
    <xdr:ext cx="828675" cy="0"/>
    <xdr:sp macro="" textlink="">
      <xdr:nvSpPr>
        <xdr:cNvPr id="853" name="Shape 318">
          <a:extLst>
            <a:ext uri="{FF2B5EF4-FFF2-40B4-BE49-F238E27FC236}">
              <a16:creationId xmlns:a16="http://schemas.microsoft.com/office/drawing/2014/main" id="{F617F211-FA93-4FAF-9FD6-8DC430A81348}"/>
            </a:ext>
          </a:extLst>
        </xdr:cNvPr>
        <xdr:cNvSpPr/>
      </xdr:nvSpPr>
      <xdr:spPr>
        <a:xfrm>
          <a:off x="774192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374</xdr:row>
      <xdr:rowOff>260347</xdr:rowOff>
    </xdr:from>
    <xdr:ext cx="828675" cy="0"/>
    <xdr:sp macro="" textlink="">
      <xdr:nvSpPr>
        <xdr:cNvPr id="854" name="Shape 319">
          <a:extLst>
            <a:ext uri="{FF2B5EF4-FFF2-40B4-BE49-F238E27FC236}">
              <a16:creationId xmlns:a16="http://schemas.microsoft.com/office/drawing/2014/main" id="{25FDE060-8B05-4610-A793-9FB71857A0C4}"/>
            </a:ext>
          </a:extLst>
        </xdr:cNvPr>
        <xdr:cNvSpPr/>
      </xdr:nvSpPr>
      <xdr:spPr>
        <a:xfrm>
          <a:off x="4419663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374</xdr:row>
      <xdr:rowOff>260347</xdr:rowOff>
    </xdr:from>
    <xdr:ext cx="828675" cy="0"/>
    <xdr:sp macro="" textlink="">
      <xdr:nvSpPr>
        <xdr:cNvPr id="855" name="Shape 320">
          <a:extLst>
            <a:ext uri="{FF2B5EF4-FFF2-40B4-BE49-F238E27FC236}">
              <a16:creationId xmlns:a16="http://schemas.microsoft.com/office/drawing/2014/main" id="{0EB6347E-0555-433F-B6A9-5DB4D4727FD7}"/>
            </a:ext>
          </a:extLst>
        </xdr:cNvPr>
        <xdr:cNvSpPr/>
      </xdr:nvSpPr>
      <xdr:spPr>
        <a:xfrm>
          <a:off x="6629400" y="7620126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374</xdr:row>
      <xdr:rowOff>260347</xdr:rowOff>
    </xdr:from>
    <xdr:ext cx="371475" cy="0"/>
    <xdr:sp macro="" textlink="">
      <xdr:nvSpPr>
        <xdr:cNvPr id="856" name="Shape 321">
          <a:extLst>
            <a:ext uri="{FF2B5EF4-FFF2-40B4-BE49-F238E27FC236}">
              <a16:creationId xmlns:a16="http://schemas.microsoft.com/office/drawing/2014/main" id="{B5BD3B2F-D8AE-449F-A614-D9EE330BD217}"/>
            </a:ext>
          </a:extLst>
        </xdr:cNvPr>
        <xdr:cNvSpPr/>
      </xdr:nvSpPr>
      <xdr:spPr>
        <a:xfrm>
          <a:off x="8854440" y="7620126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375</xdr:row>
      <xdr:rowOff>21968</xdr:rowOff>
    </xdr:from>
    <xdr:ext cx="114300" cy="114300"/>
    <xdr:pic>
      <xdr:nvPicPr>
        <xdr:cNvPr id="857" name="image1.png">
          <a:extLst>
            <a:ext uri="{FF2B5EF4-FFF2-40B4-BE49-F238E27FC236}">
              <a16:creationId xmlns:a16="http://schemas.microsoft.com/office/drawing/2014/main" id="{49215745-4BD1-4284-9B35-996EF41C3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641246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378</xdr:row>
      <xdr:rowOff>251</xdr:rowOff>
    </xdr:from>
    <xdr:ext cx="2141855" cy="0"/>
    <xdr:sp macro="" textlink="">
      <xdr:nvSpPr>
        <xdr:cNvPr id="858" name="Shape 323">
          <a:extLst>
            <a:ext uri="{FF2B5EF4-FFF2-40B4-BE49-F238E27FC236}">
              <a16:creationId xmlns:a16="http://schemas.microsoft.com/office/drawing/2014/main" id="{82DCC1BE-3A4E-4CDF-AB5D-E119C3DDCDCE}"/>
            </a:ext>
          </a:extLst>
        </xdr:cNvPr>
        <xdr:cNvSpPr/>
      </xdr:nvSpPr>
      <xdr:spPr>
        <a:xfrm>
          <a:off x="1650745" y="7708417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378</xdr:row>
      <xdr:rowOff>-2</xdr:rowOff>
    </xdr:from>
    <xdr:ext cx="828675" cy="0"/>
    <xdr:sp macro="" textlink="">
      <xdr:nvSpPr>
        <xdr:cNvPr id="859" name="Shape 324">
          <a:extLst>
            <a:ext uri="{FF2B5EF4-FFF2-40B4-BE49-F238E27FC236}">
              <a16:creationId xmlns:a16="http://schemas.microsoft.com/office/drawing/2014/main" id="{CC8A3B6E-AB3A-4DE4-9583-08C72617E3BB}"/>
            </a:ext>
          </a:extLst>
        </xdr:cNvPr>
        <xdr:cNvSpPr/>
      </xdr:nvSpPr>
      <xdr:spPr>
        <a:xfrm>
          <a:off x="550037" y="7708391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378</xdr:row>
      <xdr:rowOff>-2</xdr:rowOff>
    </xdr:from>
    <xdr:ext cx="371475" cy="0"/>
    <xdr:sp macro="" textlink="">
      <xdr:nvSpPr>
        <xdr:cNvPr id="860" name="Shape 325">
          <a:extLst>
            <a:ext uri="{FF2B5EF4-FFF2-40B4-BE49-F238E27FC236}">
              <a16:creationId xmlns:a16="http://schemas.microsoft.com/office/drawing/2014/main" id="{3F3D41A3-2707-4DE8-8705-76DC18F0EB63}"/>
            </a:ext>
          </a:extLst>
        </xdr:cNvPr>
        <xdr:cNvSpPr/>
      </xdr:nvSpPr>
      <xdr:spPr>
        <a:xfrm>
          <a:off x="8854440" y="7708391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380</xdr:row>
      <xdr:rowOff>15618</xdr:rowOff>
    </xdr:from>
    <xdr:ext cx="114300" cy="114300"/>
    <xdr:pic>
      <xdr:nvPicPr>
        <xdr:cNvPr id="861" name="image1.png">
          <a:extLst>
            <a:ext uri="{FF2B5EF4-FFF2-40B4-BE49-F238E27FC236}">
              <a16:creationId xmlns:a16="http://schemas.microsoft.com/office/drawing/2014/main" id="{BDC4542F-79DD-4363-ACA8-DD2401DDF1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7450058"/>
          <a:ext cx="114300" cy="114300"/>
        </a:xfrm>
        <a:prstGeom prst="rect">
          <a:avLst/>
        </a:prstGeom>
      </xdr:spPr>
    </xdr:pic>
    <xdr:clientData/>
  </xdr:oneCellAnchor>
  <xdr:oneCellAnchor>
    <xdr:from>
      <xdr:col>1</xdr:col>
      <xdr:colOff>169265</xdr:colOff>
      <xdr:row>382</xdr:row>
      <xdr:rowOff>323847</xdr:rowOff>
    </xdr:from>
    <xdr:ext cx="828675" cy="0"/>
    <xdr:sp macro="" textlink="">
      <xdr:nvSpPr>
        <xdr:cNvPr id="862" name="Shape 327">
          <a:extLst>
            <a:ext uri="{FF2B5EF4-FFF2-40B4-BE49-F238E27FC236}">
              <a16:creationId xmlns:a16="http://schemas.microsoft.com/office/drawing/2014/main" id="{D13EC873-7CD8-47A7-806D-0DA97A171362}"/>
            </a:ext>
          </a:extLst>
        </xdr:cNvPr>
        <xdr:cNvSpPr/>
      </xdr:nvSpPr>
      <xdr:spPr>
        <a:xfrm>
          <a:off x="489305" y="7812404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382</xdr:row>
      <xdr:rowOff>323847</xdr:rowOff>
    </xdr:from>
    <xdr:ext cx="371475" cy="0"/>
    <xdr:sp macro="" textlink="">
      <xdr:nvSpPr>
        <xdr:cNvPr id="863" name="Shape 328">
          <a:extLst>
            <a:ext uri="{FF2B5EF4-FFF2-40B4-BE49-F238E27FC236}">
              <a16:creationId xmlns:a16="http://schemas.microsoft.com/office/drawing/2014/main" id="{A4811D51-2EFF-408B-B8D6-0EF2E4C4491D}"/>
            </a:ext>
          </a:extLst>
        </xdr:cNvPr>
        <xdr:cNvSpPr/>
      </xdr:nvSpPr>
      <xdr:spPr>
        <a:xfrm>
          <a:off x="8837421" y="7812404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384</xdr:row>
      <xdr:rowOff>21968</xdr:rowOff>
    </xdr:from>
    <xdr:ext cx="114300" cy="114300"/>
    <xdr:pic>
      <xdr:nvPicPr>
        <xdr:cNvPr id="864" name="image1.png">
          <a:extLst>
            <a:ext uri="{FF2B5EF4-FFF2-40B4-BE49-F238E27FC236}">
              <a16:creationId xmlns:a16="http://schemas.microsoft.com/office/drawing/2014/main" id="{5447E207-FA49-4A79-9DCD-112D88AB9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8340328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387</xdr:row>
      <xdr:rowOff>-2</xdr:rowOff>
    </xdr:from>
    <xdr:ext cx="828675" cy="0"/>
    <xdr:sp macro="" textlink="">
      <xdr:nvSpPr>
        <xdr:cNvPr id="865" name="Shape 330">
          <a:extLst>
            <a:ext uri="{FF2B5EF4-FFF2-40B4-BE49-F238E27FC236}">
              <a16:creationId xmlns:a16="http://schemas.microsoft.com/office/drawing/2014/main" id="{E53E433F-35C1-4EAB-B4DB-4E60EA773634}"/>
            </a:ext>
          </a:extLst>
        </xdr:cNvPr>
        <xdr:cNvSpPr/>
      </xdr:nvSpPr>
      <xdr:spPr>
        <a:xfrm>
          <a:off x="550037" y="7901177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387</xdr:row>
      <xdr:rowOff>-2</xdr:rowOff>
    </xdr:from>
    <xdr:ext cx="371475" cy="0"/>
    <xdr:sp macro="" textlink="">
      <xdr:nvSpPr>
        <xdr:cNvPr id="866" name="Shape 331">
          <a:extLst>
            <a:ext uri="{FF2B5EF4-FFF2-40B4-BE49-F238E27FC236}">
              <a16:creationId xmlns:a16="http://schemas.microsoft.com/office/drawing/2014/main" id="{8922691F-FD47-46DD-BC55-F3395570527D}"/>
            </a:ext>
          </a:extLst>
        </xdr:cNvPr>
        <xdr:cNvSpPr/>
      </xdr:nvSpPr>
      <xdr:spPr>
        <a:xfrm>
          <a:off x="8854440" y="7901177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389</xdr:row>
      <xdr:rowOff>15618</xdr:rowOff>
    </xdr:from>
    <xdr:ext cx="114300" cy="114300"/>
    <xdr:pic>
      <xdr:nvPicPr>
        <xdr:cNvPr id="867" name="image1.png">
          <a:extLst>
            <a:ext uri="{FF2B5EF4-FFF2-40B4-BE49-F238E27FC236}">
              <a16:creationId xmlns:a16="http://schemas.microsoft.com/office/drawing/2014/main" id="{B858C905-ED59-48BD-9AE3-E56FFEB78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7937791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392</xdr:row>
      <xdr:rowOff>6601</xdr:rowOff>
    </xdr:from>
    <xdr:ext cx="2141855" cy="0"/>
    <xdr:sp macro="" textlink="">
      <xdr:nvSpPr>
        <xdr:cNvPr id="868" name="Shape 333">
          <a:extLst>
            <a:ext uri="{FF2B5EF4-FFF2-40B4-BE49-F238E27FC236}">
              <a16:creationId xmlns:a16="http://schemas.microsoft.com/office/drawing/2014/main" id="{246BE781-8F50-448D-8912-2474C6AC45DC}"/>
            </a:ext>
          </a:extLst>
        </xdr:cNvPr>
        <xdr:cNvSpPr/>
      </xdr:nvSpPr>
      <xdr:spPr>
        <a:xfrm>
          <a:off x="1650745" y="8004708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392</xdr:row>
      <xdr:rowOff>6347</xdr:rowOff>
    </xdr:from>
    <xdr:ext cx="828675" cy="0"/>
    <xdr:sp macro="" textlink="">
      <xdr:nvSpPr>
        <xdr:cNvPr id="869" name="Shape 334">
          <a:extLst>
            <a:ext uri="{FF2B5EF4-FFF2-40B4-BE49-F238E27FC236}">
              <a16:creationId xmlns:a16="http://schemas.microsoft.com/office/drawing/2014/main" id="{2E81745F-DBB2-4853-A4B4-9E93ACBD73B6}"/>
            </a:ext>
          </a:extLst>
        </xdr:cNvPr>
        <xdr:cNvSpPr/>
      </xdr:nvSpPr>
      <xdr:spPr>
        <a:xfrm>
          <a:off x="550037" y="8004682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392</xdr:row>
      <xdr:rowOff>6347</xdr:rowOff>
    </xdr:from>
    <xdr:ext cx="371475" cy="0"/>
    <xdr:sp macro="" textlink="">
      <xdr:nvSpPr>
        <xdr:cNvPr id="870" name="Shape 335">
          <a:extLst>
            <a:ext uri="{FF2B5EF4-FFF2-40B4-BE49-F238E27FC236}">
              <a16:creationId xmlns:a16="http://schemas.microsoft.com/office/drawing/2014/main" id="{60208AA9-2305-49FE-A5B5-F242BA672B69}"/>
            </a:ext>
          </a:extLst>
        </xdr:cNvPr>
        <xdr:cNvSpPr/>
      </xdr:nvSpPr>
      <xdr:spPr>
        <a:xfrm>
          <a:off x="8854440" y="8004682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393</xdr:row>
      <xdr:rowOff>21968</xdr:rowOff>
    </xdr:from>
    <xdr:ext cx="114300" cy="114300"/>
    <xdr:pic>
      <xdr:nvPicPr>
        <xdr:cNvPr id="871" name="image1.png">
          <a:extLst>
            <a:ext uri="{FF2B5EF4-FFF2-40B4-BE49-F238E27FC236}">
              <a16:creationId xmlns:a16="http://schemas.microsoft.com/office/drawing/2014/main" id="{DAF8B899-552F-4486-89C9-198A9E1F4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026056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396</xdr:row>
      <xdr:rowOff>251</xdr:rowOff>
    </xdr:from>
    <xdr:ext cx="2141855" cy="0"/>
    <xdr:sp macro="" textlink="">
      <xdr:nvSpPr>
        <xdr:cNvPr id="872" name="Shape 337">
          <a:extLst>
            <a:ext uri="{FF2B5EF4-FFF2-40B4-BE49-F238E27FC236}">
              <a16:creationId xmlns:a16="http://schemas.microsoft.com/office/drawing/2014/main" id="{B258C52A-E181-48D9-91D3-EFE67E37EE5A}"/>
            </a:ext>
          </a:extLst>
        </xdr:cNvPr>
        <xdr:cNvSpPr/>
      </xdr:nvSpPr>
      <xdr:spPr>
        <a:xfrm>
          <a:off x="1650745" y="8093227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396</xdr:row>
      <xdr:rowOff>-2</xdr:rowOff>
    </xdr:from>
    <xdr:ext cx="828675" cy="0"/>
    <xdr:sp macro="" textlink="">
      <xdr:nvSpPr>
        <xdr:cNvPr id="873" name="Shape 338">
          <a:extLst>
            <a:ext uri="{FF2B5EF4-FFF2-40B4-BE49-F238E27FC236}">
              <a16:creationId xmlns:a16="http://schemas.microsoft.com/office/drawing/2014/main" id="{AEC039FD-B72D-473C-99B9-53F33F9915BD}"/>
            </a:ext>
          </a:extLst>
        </xdr:cNvPr>
        <xdr:cNvSpPr/>
      </xdr:nvSpPr>
      <xdr:spPr>
        <a:xfrm>
          <a:off x="550037" y="8093201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396</xdr:row>
      <xdr:rowOff>-2</xdr:rowOff>
    </xdr:from>
    <xdr:ext cx="371475" cy="0"/>
    <xdr:sp macro="" textlink="">
      <xdr:nvSpPr>
        <xdr:cNvPr id="874" name="Shape 339">
          <a:extLst>
            <a:ext uri="{FF2B5EF4-FFF2-40B4-BE49-F238E27FC236}">
              <a16:creationId xmlns:a16="http://schemas.microsoft.com/office/drawing/2014/main" id="{82266235-F8EF-478F-B78A-0EAF6B22CFE3}"/>
            </a:ext>
          </a:extLst>
        </xdr:cNvPr>
        <xdr:cNvSpPr/>
      </xdr:nvSpPr>
      <xdr:spPr>
        <a:xfrm>
          <a:off x="8854440" y="8093201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397</xdr:row>
      <xdr:rowOff>15618</xdr:rowOff>
    </xdr:from>
    <xdr:ext cx="114300" cy="114300"/>
    <xdr:pic>
      <xdr:nvPicPr>
        <xdr:cNvPr id="875" name="image1.png">
          <a:extLst>
            <a:ext uri="{FF2B5EF4-FFF2-40B4-BE49-F238E27FC236}">
              <a16:creationId xmlns:a16="http://schemas.microsoft.com/office/drawing/2014/main" id="{CF4B4251-B9A4-446F-BC80-3C93A7EDA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114575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399</xdr:row>
      <xdr:rowOff>324101</xdr:rowOff>
    </xdr:from>
    <xdr:ext cx="2141855" cy="0"/>
    <xdr:sp macro="" textlink="">
      <xdr:nvSpPr>
        <xdr:cNvPr id="876" name="Shape 341">
          <a:extLst>
            <a:ext uri="{FF2B5EF4-FFF2-40B4-BE49-F238E27FC236}">
              <a16:creationId xmlns:a16="http://schemas.microsoft.com/office/drawing/2014/main" id="{8F2DA6EF-0460-4F5D-AC0A-90F18F718C4D}"/>
            </a:ext>
          </a:extLst>
        </xdr:cNvPr>
        <xdr:cNvSpPr/>
      </xdr:nvSpPr>
      <xdr:spPr>
        <a:xfrm>
          <a:off x="1668834" y="8182000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399</xdr:row>
      <xdr:rowOff>323847</xdr:rowOff>
    </xdr:from>
    <xdr:ext cx="828675" cy="0"/>
    <xdr:sp macro="" textlink="">
      <xdr:nvSpPr>
        <xdr:cNvPr id="877" name="Shape 342">
          <a:extLst>
            <a:ext uri="{FF2B5EF4-FFF2-40B4-BE49-F238E27FC236}">
              <a16:creationId xmlns:a16="http://schemas.microsoft.com/office/drawing/2014/main" id="{5B3106B3-44B8-497C-9ACD-753FF03322D1}"/>
            </a:ext>
          </a:extLst>
        </xdr:cNvPr>
        <xdr:cNvSpPr/>
      </xdr:nvSpPr>
      <xdr:spPr>
        <a:xfrm>
          <a:off x="489305" y="8181974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23</xdr:col>
      <xdr:colOff>59181</xdr:colOff>
      <xdr:row>399</xdr:row>
      <xdr:rowOff>323847</xdr:rowOff>
    </xdr:from>
    <xdr:ext cx="371475" cy="0"/>
    <xdr:sp macro="" textlink="">
      <xdr:nvSpPr>
        <xdr:cNvPr id="878" name="Shape 343">
          <a:extLst>
            <a:ext uri="{FF2B5EF4-FFF2-40B4-BE49-F238E27FC236}">
              <a16:creationId xmlns:a16="http://schemas.microsoft.com/office/drawing/2014/main" id="{96BBF6AF-E30E-49D4-8100-7CE74A86C542}"/>
            </a:ext>
          </a:extLst>
        </xdr:cNvPr>
        <xdr:cNvSpPr/>
      </xdr:nvSpPr>
      <xdr:spPr>
        <a:xfrm>
          <a:off x="8837421" y="8181974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402</xdr:row>
      <xdr:rowOff>21968</xdr:rowOff>
    </xdr:from>
    <xdr:ext cx="114300" cy="114300"/>
    <xdr:pic>
      <xdr:nvPicPr>
        <xdr:cNvPr id="879" name="image1.png">
          <a:extLst>
            <a:ext uri="{FF2B5EF4-FFF2-40B4-BE49-F238E27FC236}">
              <a16:creationId xmlns:a16="http://schemas.microsoft.com/office/drawing/2014/main" id="{B760D596-E7BF-4DAA-B0A8-B1BC6D0D51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2180808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405</xdr:row>
      <xdr:rowOff>251</xdr:rowOff>
    </xdr:from>
    <xdr:ext cx="2141855" cy="0"/>
    <xdr:sp macro="" textlink="">
      <xdr:nvSpPr>
        <xdr:cNvPr id="880" name="Shape 345">
          <a:extLst>
            <a:ext uri="{FF2B5EF4-FFF2-40B4-BE49-F238E27FC236}">
              <a16:creationId xmlns:a16="http://schemas.microsoft.com/office/drawing/2014/main" id="{B6A1A2FF-D085-4C78-8855-4B88FA3A78AD}"/>
            </a:ext>
          </a:extLst>
        </xdr:cNvPr>
        <xdr:cNvSpPr/>
      </xdr:nvSpPr>
      <xdr:spPr>
        <a:xfrm>
          <a:off x="1650745" y="82852511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405</xdr:row>
      <xdr:rowOff>-2</xdr:rowOff>
    </xdr:from>
    <xdr:ext cx="828675" cy="0"/>
    <xdr:sp macro="" textlink="">
      <xdr:nvSpPr>
        <xdr:cNvPr id="881" name="Shape 346">
          <a:extLst>
            <a:ext uri="{FF2B5EF4-FFF2-40B4-BE49-F238E27FC236}">
              <a16:creationId xmlns:a16="http://schemas.microsoft.com/office/drawing/2014/main" id="{8AA95DD5-2533-4C69-8688-234CE300DFB2}"/>
            </a:ext>
          </a:extLst>
        </xdr:cNvPr>
        <xdr:cNvSpPr/>
      </xdr:nvSpPr>
      <xdr:spPr>
        <a:xfrm>
          <a:off x="550037" y="8285225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405</xdr:row>
      <xdr:rowOff>-2</xdr:rowOff>
    </xdr:from>
    <xdr:ext cx="371475" cy="0"/>
    <xdr:sp macro="" textlink="">
      <xdr:nvSpPr>
        <xdr:cNvPr id="882" name="Shape 347">
          <a:extLst>
            <a:ext uri="{FF2B5EF4-FFF2-40B4-BE49-F238E27FC236}">
              <a16:creationId xmlns:a16="http://schemas.microsoft.com/office/drawing/2014/main" id="{0D7C0DD4-7086-4AEB-A6F0-6F83FFD2F200}"/>
            </a:ext>
          </a:extLst>
        </xdr:cNvPr>
        <xdr:cNvSpPr/>
      </xdr:nvSpPr>
      <xdr:spPr>
        <a:xfrm>
          <a:off x="8854440" y="8285225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406</xdr:row>
      <xdr:rowOff>15618</xdr:rowOff>
    </xdr:from>
    <xdr:ext cx="114300" cy="114300"/>
    <xdr:pic>
      <xdr:nvPicPr>
        <xdr:cNvPr id="883" name="image1.png">
          <a:extLst>
            <a:ext uri="{FF2B5EF4-FFF2-40B4-BE49-F238E27FC236}">
              <a16:creationId xmlns:a16="http://schemas.microsoft.com/office/drawing/2014/main" id="{AA0B07A0-DE73-44D3-8301-37A7F412B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3065998"/>
          <a:ext cx="114300" cy="114300"/>
        </a:xfrm>
        <a:prstGeom prst="rect">
          <a:avLst/>
        </a:prstGeom>
      </xdr:spPr>
    </xdr:pic>
    <xdr:clientData/>
  </xdr:oneCellAnchor>
  <xdr:oneCellAnchor>
    <xdr:from>
      <xdr:col>2</xdr:col>
      <xdr:colOff>1397</xdr:colOff>
      <xdr:row>409</xdr:row>
      <xdr:rowOff>6347</xdr:rowOff>
    </xdr:from>
    <xdr:ext cx="828675" cy="0"/>
    <xdr:sp macro="" textlink="">
      <xdr:nvSpPr>
        <xdr:cNvPr id="884" name="Shape 349">
          <a:extLst>
            <a:ext uri="{FF2B5EF4-FFF2-40B4-BE49-F238E27FC236}">
              <a16:creationId xmlns:a16="http://schemas.microsoft.com/office/drawing/2014/main" id="{CEB59546-BF7C-4AE9-9D98-A542697A2042}"/>
            </a:ext>
          </a:extLst>
        </xdr:cNvPr>
        <xdr:cNvSpPr/>
      </xdr:nvSpPr>
      <xdr:spPr>
        <a:xfrm>
          <a:off x="550037" y="8373490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409</xdr:row>
      <xdr:rowOff>6347</xdr:rowOff>
    </xdr:from>
    <xdr:ext cx="371475" cy="0"/>
    <xdr:sp macro="" textlink="">
      <xdr:nvSpPr>
        <xdr:cNvPr id="885" name="Shape 350">
          <a:extLst>
            <a:ext uri="{FF2B5EF4-FFF2-40B4-BE49-F238E27FC236}">
              <a16:creationId xmlns:a16="http://schemas.microsoft.com/office/drawing/2014/main" id="{461F628D-9D89-41B4-B9BC-4D9F674B3B40}"/>
            </a:ext>
          </a:extLst>
        </xdr:cNvPr>
        <xdr:cNvSpPr/>
      </xdr:nvSpPr>
      <xdr:spPr>
        <a:xfrm>
          <a:off x="8854440" y="83734907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412</xdr:row>
      <xdr:rowOff>21968</xdr:rowOff>
    </xdr:from>
    <xdr:ext cx="114300" cy="114300"/>
    <xdr:pic>
      <xdr:nvPicPr>
        <xdr:cNvPr id="886" name="image1.png">
          <a:extLst>
            <a:ext uri="{FF2B5EF4-FFF2-40B4-BE49-F238E27FC236}">
              <a16:creationId xmlns:a16="http://schemas.microsoft.com/office/drawing/2014/main" id="{35D92B35-1E23-430E-AC5D-0763F512B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4253448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9905</xdr:colOff>
      <xdr:row>417</xdr:row>
      <xdr:rowOff>6350</xdr:rowOff>
    </xdr:from>
    <xdr:ext cx="828675" cy="0"/>
    <xdr:sp macro="" textlink="">
      <xdr:nvSpPr>
        <xdr:cNvPr id="887" name="Shape 352">
          <a:extLst>
            <a:ext uri="{FF2B5EF4-FFF2-40B4-BE49-F238E27FC236}">
              <a16:creationId xmlns:a16="http://schemas.microsoft.com/office/drawing/2014/main" id="{0D5AEF9D-C624-47BA-BB20-340B0D28B0CD}"/>
            </a:ext>
          </a:extLst>
        </xdr:cNvPr>
        <xdr:cNvSpPr/>
      </xdr:nvSpPr>
      <xdr:spPr>
        <a:xfrm>
          <a:off x="5526785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4952</xdr:colOff>
      <xdr:row>417</xdr:row>
      <xdr:rowOff>6604</xdr:rowOff>
    </xdr:from>
    <xdr:ext cx="2141855" cy="0"/>
    <xdr:sp macro="" textlink="">
      <xdr:nvSpPr>
        <xdr:cNvPr id="888" name="Shape 353">
          <a:extLst>
            <a:ext uri="{FF2B5EF4-FFF2-40B4-BE49-F238E27FC236}">
              <a16:creationId xmlns:a16="http://schemas.microsoft.com/office/drawing/2014/main" id="{612F1A90-AD17-4874-AB9C-F2E4B4D10D47}"/>
            </a:ext>
          </a:extLst>
        </xdr:cNvPr>
        <xdr:cNvSpPr/>
      </xdr:nvSpPr>
      <xdr:spPr>
        <a:xfrm>
          <a:off x="1650872" y="84878164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14224</xdr:colOff>
      <xdr:row>417</xdr:row>
      <xdr:rowOff>6350</xdr:rowOff>
    </xdr:from>
    <xdr:ext cx="828675" cy="0"/>
    <xdr:sp macro="" textlink="">
      <xdr:nvSpPr>
        <xdr:cNvPr id="889" name="Shape 354">
          <a:extLst>
            <a:ext uri="{FF2B5EF4-FFF2-40B4-BE49-F238E27FC236}">
              <a16:creationId xmlns:a16="http://schemas.microsoft.com/office/drawing/2014/main" id="{CA34CC4F-0836-41B8-8AC6-362BDAD25F70}"/>
            </a:ext>
          </a:extLst>
        </xdr:cNvPr>
        <xdr:cNvSpPr/>
      </xdr:nvSpPr>
      <xdr:spPr>
        <a:xfrm>
          <a:off x="562864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2794</xdr:colOff>
      <xdr:row>417</xdr:row>
      <xdr:rowOff>6350</xdr:rowOff>
    </xdr:from>
    <xdr:ext cx="828675" cy="0"/>
    <xdr:sp macro="" textlink="">
      <xdr:nvSpPr>
        <xdr:cNvPr id="890" name="Shape 355">
          <a:extLst>
            <a:ext uri="{FF2B5EF4-FFF2-40B4-BE49-F238E27FC236}">
              <a16:creationId xmlns:a16="http://schemas.microsoft.com/office/drawing/2014/main" id="{2E13FB55-CF0D-439D-B6AD-3F432E51E7A1}"/>
            </a:ext>
          </a:extLst>
        </xdr:cNvPr>
        <xdr:cNvSpPr/>
      </xdr:nvSpPr>
      <xdr:spPr>
        <a:xfrm>
          <a:off x="7744714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5460</xdr:colOff>
      <xdr:row>417</xdr:row>
      <xdr:rowOff>6350</xdr:rowOff>
    </xdr:from>
    <xdr:ext cx="828675" cy="0"/>
    <xdr:sp macro="" textlink="">
      <xdr:nvSpPr>
        <xdr:cNvPr id="891" name="Shape 356">
          <a:extLst>
            <a:ext uri="{FF2B5EF4-FFF2-40B4-BE49-F238E27FC236}">
              <a16:creationId xmlns:a16="http://schemas.microsoft.com/office/drawing/2014/main" id="{2DC75CC9-A8E5-4683-9806-857669CA5FDD}"/>
            </a:ext>
          </a:extLst>
        </xdr:cNvPr>
        <xdr:cNvSpPr/>
      </xdr:nvSpPr>
      <xdr:spPr>
        <a:xfrm>
          <a:off x="4425060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11557</xdr:colOff>
      <xdr:row>417</xdr:row>
      <xdr:rowOff>6350</xdr:rowOff>
    </xdr:from>
    <xdr:ext cx="828675" cy="0"/>
    <xdr:sp macro="" textlink="">
      <xdr:nvSpPr>
        <xdr:cNvPr id="892" name="Shape 357">
          <a:extLst>
            <a:ext uri="{FF2B5EF4-FFF2-40B4-BE49-F238E27FC236}">
              <a16:creationId xmlns:a16="http://schemas.microsoft.com/office/drawing/2014/main" id="{8034ABA9-3E89-473D-8BA5-5F8B1A9CA2F7}"/>
            </a:ext>
          </a:extLst>
        </xdr:cNvPr>
        <xdr:cNvSpPr/>
      </xdr:nvSpPr>
      <xdr:spPr>
        <a:xfrm>
          <a:off x="6640957" y="848779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1651</xdr:colOff>
      <xdr:row>417</xdr:row>
      <xdr:rowOff>6350</xdr:rowOff>
    </xdr:from>
    <xdr:ext cx="371475" cy="0"/>
    <xdr:sp macro="" textlink="">
      <xdr:nvSpPr>
        <xdr:cNvPr id="893" name="Shape 358">
          <a:extLst>
            <a:ext uri="{FF2B5EF4-FFF2-40B4-BE49-F238E27FC236}">
              <a16:creationId xmlns:a16="http://schemas.microsoft.com/office/drawing/2014/main" id="{F85A9CA0-4A5D-4ECB-9809-FC3CBB410B03}"/>
            </a:ext>
          </a:extLst>
        </xdr:cNvPr>
        <xdr:cNvSpPr/>
      </xdr:nvSpPr>
      <xdr:spPr>
        <a:xfrm>
          <a:off x="8856091" y="84877910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420</xdr:row>
      <xdr:rowOff>257429</xdr:rowOff>
    </xdr:from>
    <xdr:ext cx="2141855" cy="0"/>
    <xdr:sp macro="" textlink="">
      <xdr:nvSpPr>
        <xdr:cNvPr id="894" name="Shape 359">
          <a:extLst>
            <a:ext uri="{FF2B5EF4-FFF2-40B4-BE49-F238E27FC236}">
              <a16:creationId xmlns:a16="http://schemas.microsoft.com/office/drawing/2014/main" id="{C36F944F-8B25-41D1-9DD3-9532D9A80C2B}"/>
            </a:ext>
          </a:extLst>
        </xdr:cNvPr>
        <xdr:cNvSpPr/>
      </xdr:nvSpPr>
      <xdr:spPr>
        <a:xfrm>
          <a:off x="1650745" y="8544140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420</xdr:row>
      <xdr:rowOff>257175</xdr:rowOff>
    </xdr:from>
    <xdr:ext cx="828675" cy="0"/>
    <xdr:sp macro="" textlink="">
      <xdr:nvSpPr>
        <xdr:cNvPr id="895" name="Shape 360">
          <a:extLst>
            <a:ext uri="{FF2B5EF4-FFF2-40B4-BE49-F238E27FC236}">
              <a16:creationId xmlns:a16="http://schemas.microsoft.com/office/drawing/2014/main" id="{16EA15F1-F585-40F3-BC1A-7ABA2AEAAF8B}"/>
            </a:ext>
          </a:extLst>
        </xdr:cNvPr>
        <xdr:cNvSpPr/>
      </xdr:nvSpPr>
      <xdr:spPr>
        <a:xfrm>
          <a:off x="550037" y="8544115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420</xdr:row>
      <xdr:rowOff>257175</xdr:rowOff>
    </xdr:from>
    <xdr:ext cx="371475" cy="0"/>
    <xdr:sp macro="" textlink="">
      <xdr:nvSpPr>
        <xdr:cNvPr id="896" name="Shape 361">
          <a:extLst>
            <a:ext uri="{FF2B5EF4-FFF2-40B4-BE49-F238E27FC236}">
              <a16:creationId xmlns:a16="http://schemas.microsoft.com/office/drawing/2014/main" id="{AD3F8FB5-2BC6-4E4D-B87B-C92E942F2083}"/>
            </a:ext>
          </a:extLst>
        </xdr:cNvPr>
        <xdr:cNvSpPr/>
      </xdr:nvSpPr>
      <xdr:spPr>
        <a:xfrm>
          <a:off x="8854440" y="8544115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422</xdr:row>
      <xdr:rowOff>25145</xdr:rowOff>
    </xdr:from>
    <xdr:ext cx="114300" cy="114300"/>
    <xdr:pic>
      <xdr:nvPicPr>
        <xdr:cNvPr id="897" name="image1.png">
          <a:extLst>
            <a:ext uri="{FF2B5EF4-FFF2-40B4-BE49-F238E27FC236}">
              <a16:creationId xmlns:a16="http://schemas.microsoft.com/office/drawing/2014/main" id="{E33EEE98-1D6F-4E5C-8575-359621CE2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568156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425</xdr:row>
      <xdr:rowOff>3429</xdr:rowOff>
    </xdr:from>
    <xdr:ext cx="2141855" cy="0"/>
    <xdr:sp macro="" textlink="">
      <xdr:nvSpPr>
        <xdr:cNvPr id="898" name="Shape 363">
          <a:extLst>
            <a:ext uri="{FF2B5EF4-FFF2-40B4-BE49-F238E27FC236}">
              <a16:creationId xmlns:a16="http://schemas.microsoft.com/office/drawing/2014/main" id="{16771AD0-AE35-41DD-898A-38EBF8E1613B}"/>
            </a:ext>
          </a:extLst>
        </xdr:cNvPr>
        <xdr:cNvSpPr/>
      </xdr:nvSpPr>
      <xdr:spPr>
        <a:xfrm>
          <a:off x="1650745" y="8635326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425</xdr:row>
      <xdr:rowOff>3175</xdr:rowOff>
    </xdr:from>
    <xdr:ext cx="828675" cy="0"/>
    <xdr:sp macro="" textlink="">
      <xdr:nvSpPr>
        <xdr:cNvPr id="899" name="Shape 364">
          <a:extLst>
            <a:ext uri="{FF2B5EF4-FFF2-40B4-BE49-F238E27FC236}">
              <a16:creationId xmlns:a16="http://schemas.microsoft.com/office/drawing/2014/main" id="{FB97D7C2-D608-4F16-A9DC-4D19AF923DE3}"/>
            </a:ext>
          </a:extLst>
        </xdr:cNvPr>
        <xdr:cNvSpPr/>
      </xdr:nvSpPr>
      <xdr:spPr>
        <a:xfrm>
          <a:off x="550037" y="8635301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425</xdr:row>
      <xdr:rowOff>3175</xdr:rowOff>
    </xdr:from>
    <xdr:ext cx="371475" cy="0"/>
    <xdr:sp macro="" textlink="">
      <xdr:nvSpPr>
        <xdr:cNvPr id="900" name="Shape 365">
          <a:extLst>
            <a:ext uri="{FF2B5EF4-FFF2-40B4-BE49-F238E27FC236}">
              <a16:creationId xmlns:a16="http://schemas.microsoft.com/office/drawing/2014/main" id="{1AB5125C-C702-4BA6-8A6B-E2E48AA0B5C7}"/>
            </a:ext>
          </a:extLst>
        </xdr:cNvPr>
        <xdr:cNvSpPr/>
      </xdr:nvSpPr>
      <xdr:spPr>
        <a:xfrm>
          <a:off x="8854440" y="8635301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428</xdr:row>
      <xdr:rowOff>327279</xdr:rowOff>
    </xdr:from>
    <xdr:ext cx="2141855" cy="0"/>
    <xdr:sp macro="" textlink="">
      <xdr:nvSpPr>
        <xdr:cNvPr id="901" name="Shape 366">
          <a:extLst>
            <a:ext uri="{FF2B5EF4-FFF2-40B4-BE49-F238E27FC236}">
              <a16:creationId xmlns:a16="http://schemas.microsoft.com/office/drawing/2014/main" id="{3FEFF98E-C2CD-4E16-BC3C-9E731A1CC9A2}"/>
            </a:ext>
          </a:extLst>
        </xdr:cNvPr>
        <xdr:cNvSpPr/>
      </xdr:nvSpPr>
      <xdr:spPr>
        <a:xfrm>
          <a:off x="1650745" y="8724099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428</xdr:row>
      <xdr:rowOff>327025</xdr:rowOff>
    </xdr:from>
    <xdr:ext cx="828675" cy="0"/>
    <xdr:sp macro="" textlink="">
      <xdr:nvSpPr>
        <xdr:cNvPr id="902" name="Shape 367">
          <a:extLst>
            <a:ext uri="{FF2B5EF4-FFF2-40B4-BE49-F238E27FC236}">
              <a16:creationId xmlns:a16="http://schemas.microsoft.com/office/drawing/2014/main" id="{FEA63CBD-A3DC-4642-9DE6-FE65D1164C81}"/>
            </a:ext>
          </a:extLst>
        </xdr:cNvPr>
        <xdr:cNvSpPr/>
      </xdr:nvSpPr>
      <xdr:spPr>
        <a:xfrm>
          <a:off x="550037" y="8724074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428</xdr:row>
      <xdr:rowOff>327025</xdr:rowOff>
    </xdr:from>
    <xdr:ext cx="371475" cy="0"/>
    <xdr:sp macro="" textlink="">
      <xdr:nvSpPr>
        <xdr:cNvPr id="903" name="Shape 368">
          <a:extLst>
            <a:ext uri="{FF2B5EF4-FFF2-40B4-BE49-F238E27FC236}">
              <a16:creationId xmlns:a16="http://schemas.microsoft.com/office/drawing/2014/main" id="{72D5FAA3-F1CA-4041-8B57-85A9CCF82385}"/>
            </a:ext>
          </a:extLst>
        </xdr:cNvPr>
        <xdr:cNvSpPr/>
      </xdr:nvSpPr>
      <xdr:spPr>
        <a:xfrm>
          <a:off x="8854440" y="8724074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430</xdr:row>
      <xdr:rowOff>25145</xdr:rowOff>
    </xdr:from>
    <xdr:ext cx="114300" cy="114300"/>
    <xdr:pic>
      <xdr:nvPicPr>
        <xdr:cNvPr id="904" name="image1.png">
          <a:extLst>
            <a:ext uri="{FF2B5EF4-FFF2-40B4-BE49-F238E27FC236}">
              <a16:creationId xmlns:a16="http://schemas.microsoft.com/office/drawing/2014/main" id="{76387699-5962-4D36-9DA4-2A1EED5B9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745702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433</xdr:row>
      <xdr:rowOff>3429</xdr:rowOff>
    </xdr:from>
    <xdr:ext cx="2141855" cy="0"/>
    <xdr:sp macro="" textlink="">
      <xdr:nvSpPr>
        <xdr:cNvPr id="905" name="Shape 370">
          <a:extLst>
            <a:ext uri="{FF2B5EF4-FFF2-40B4-BE49-F238E27FC236}">
              <a16:creationId xmlns:a16="http://schemas.microsoft.com/office/drawing/2014/main" id="{9C95E034-3A97-4BA7-BBAA-7F61A2C8A295}"/>
            </a:ext>
          </a:extLst>
        </xdr:cNvPr>
        <xdr:cNvSpPr/>
      </xdr:nvSpPr>
      <xdr:spPr>
        <a:xfrm>
          <a:off x="1650745" y="8812872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433</xdr:row>
      <xdr:rowOff>3175</xdr:rowOff>
    </xdr:from>
    <xdr:ext cx="828675" cy="0"/>
    <xdr:sp macro="" textlink="">
      <xdr:nvSpPr>
        <xdr:cNvPr id="906" name="Shape 371">
          <a:extLst>
            <a:ext uri="{FF2B5EF4-FFF2-40B4-BE49-F238E27FC236}">
              <a16:creationId xmlns:a16="http://schemas.microsoft.com/office/drawing/2014/main" id="{F166E733-8CCA-446E-A1D0-669C3C488E4E}"/>
            </a:ext>
          </a:extLst>
        </xdr:cNvPr>
        <xdr:cNvSpPr/>
      </xdr:nvSpPr>
      <xdr:spPr>
        <a:xfrm>
          <a:off x="550037" y="88128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433</xdr:row>
      <xdr:rowOff>3175</xdr:rowOff>
    </xdr:from>
    <xdr:ext cx="828675" cy="0"/>
    <xdr:sp macro="" textlink="">
      <xdr:nvSpPr>
        <xdr:cNvPr id="907" name="Shape 372">
          <a:extLst>
            <a:ext uri="{FF2B5EF4-FFF2-40B4-BE49-F238E27FC236}">
              <a16:creationId xmlns:a16="http://schemas.microsoft.com/office/drawing/2014/main" id="{6E504379-94C9-4860-89FA-5424F5E1DC4A}"/>
            </a:ext>
          </a:extLst>
        </xdr:cNvPr>
        <xdr:cNvSpPr/>
      </xdr:nvSpPr>
      <xdr:spPr>
        <a:xfrm>
          <a:off x="4403808" y="8812847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433</xdr:row>
      <xdr:rowOff>3175</xdr:rowOff>
    </xdr:from>
    <xdr:ext cx="371475" cy="0"/>
    <xdr:sp macro="" textlink="">
      <xdr:nvSpPr>
        <xdr:cNvPr id="908" name="Shape 373">
          <a:extLst>
            <a:ext uri="{FF2B5EF4-FFF2-40B4-BE49-F238E27FC236}">
              <a16:creationId xmlns:a16="http://schemas.microsoft.com/office/drawing/2014/main" id="{69C548EA-0CD4-4C90-A0D7-007FE7F28618}"/>
            </a:ext>
          </a:extLst>
        </xdr:cNvPr>
        <xdr:cNvSpPr/>
      </xdr:nvSpPr>
      <xdr:spPr>
        <a:xfrm>
          <a:off x="8854440" y="8812847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434</xdr:row>
      <xdr:rowOff>0</xdr:rowOff>
    </xdr:from>
    <xdr:ext cx="828675" cy="0"/>
    <xdr:sp macro="" textlink="">
      <xdr:nvSpPr>
        <xdr:cNvPr id="909" name="Shape 374">
          <a:extLst>
            <a:ext uri="{FF2B5EF4-FFF2-40B4-BE49-F238E27FC236}">
              <a16:creationId xmlns:a16="http://schemas.microsoft.com/office/drawing/2014/main" id="{1CD7D32C-F9BF-4D0D-9945-0F8C33907CE9}"/>
            </a:ext>
          </a:extLst>
        </xdr:cNvPr>
        <xdr:cNvSpPr/>
      </xdr:nvSpPr>
      <xdr:spPr>
        <a:xfrm>
          <a:off x="4424807" y="8832342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434</xdr:row>
      <xdr:rowOff>18795</xdr:rowOff>
    </xdr:from>
    <xdr:ext cx="114300" cy="114300"/>
    <xdr:pic>
      <xdr:nvPicPr>
        <xdr:cNvPr id="910" name="image1.png">
          <a:extLst>
            <a:ext uri="{FF2B5EF4-FFF2-40B4-BE49-F238E27FC236}">
              <a16:creationId xmlns:a16="http://schemas.microsoft.com/office/drawing/2014/main" id="{38A1A892-F88D-4039-8FB2-0C82312D1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834221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436</xdr:row>
      <xdr:rowOff>327279</xdr:rowOff>
    </xdr:from>
    <xdr:ext cx="2141855" cy="0"/>
    <xdr:sp macro="" textlink="">
      <xdr:nvSpPr>
        <xdr:cNvPr id="911" name="Shape 376">
          <a:extLst>
            <a:ext uri="{FF2B5EF4-FFF2-40B4-BE49-F238E27FC236}">
              <a16:creationId xmlns:a16="http://schemas.microsoft.com/office/drawing/2014/main" id="{77EFC518-04A5-4B44-A70E-5A838A1B8122}"/>
            </a:ext>
          </a:extLst>
        </xdr:cNvPr>
        <xdr:cNvSpPr/>
      </xdr:nvSpPr>
      <xdr:spPr>
        <a:xfrm>
          <a:off x="1650745" y="8901645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436</xdr:row>
      <xdr:rowOff>327025</xdr:rowOff>
    </xdr:from>
    <xdr:ext cx="828675" cy="0"/>
    <xdr:sp macro="" textlink="">
      <xdr:nvSpPr>
        <xdr:cNvPr id="912" name="Shape 377">
          <a:extLst>
            <a:ext uri="{FF2B5EF4-FFF2-40B4-BE49-F238E27FC236}">
              <a16:creationId xmlns:a16="http://schemas.microsoft.com/office/drawing/2014/main" id="{0E2C2F57-C1B3-4B12-A113-D9C31F2614B9}"/>
            </a:ext>
          </a:extLst>
        </xdr:cNvPr>
        <xdr:cNvSpPr/>
      </xdr:nvSpPr>
      <xdr:spPr>
        <a:xfrm>
          <a:off x="550037" y="890162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436</xdr:row>
      <xdr:rowOff>327025</xdr:rowOff>
    </xdr:from>
    <xdr:ext cx="828675" cy="0"/>
    <xdr:sp macro="" textlink="">
      <xdr:nvSpPr>
        <xdr:cNvPr id="913" name="Shape 378">
          <a:extLst>
            <a:ext uri="{FF2B5EF4-FFF2-40B4-BE49-F238E27FC236}">
              <a16:creationId xmlns:a16="http://schemas.microsoft.com/office/drawing/2014/main" id="{00C65994-AB69-401B-80B2-7BDC5811C8B3}"/>
            </a:ext>
          </a:extLst>
        </xdr:cNvPr>
        <xdr:cNvSpPr/>
      </xdr:nvSpPr>
      <xdr:spPr>
        <a:xfrm>
          <a:off x="4403808" y="8901620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436</xdr:row>
      <xdr:rowOff>327025</xdr:rowOff>
    </xdr:from>
    <xdr:ext cx="371475" cy="0"/>
    <xdr:sp macro="" textlink="">
      <xdr:nvSpPr>
        <xdr:cNvPr id="914" name="Shape 379">
          <a:extLst>
            <a:ext uri="{FF2B5EF4-FFF2-40B4-BE49-F238E27FC236}">
              <a16:creationId xmlns:a16="http://schemas.microsoft.com/office/drawing/2014/main" id="{32FE7F7E-318A-4E98-AD09-7E2F64C1ED36}"/>
            </a:ext>
          </a:extLst>
        </xdr:cNvPr>
        <xdr:cNvSpPr/>
      </xdr:nvSpPr>
      <xdr:spPr>
        <a:xfrm>
          <a:off x="8854440" y="8901620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438</xdr:row>
      <xdr:rowOff>6350</xdr:rowOff>
    </xdr:from>
    <xdr:ext cx="828675" cy="0"/>
    <xdr:sp macro="" textlink="">
      <xdr:nvSpPr>
        <xdr:cNvPr id="915" name="Shape 380">
          <a:extLst>
            <a:ext uri="{FF2B5EF4-FFF2-40B4-BE49-F238E27FC236}">
              <a16:creationId xmlns:a16="http://schemas.microsoft.com/office/drawing/2014/main" id="{99BC5F77-ABE4-4350-817A-905F4308E6CA}"/>
            </a:ext>
          </a:extLst>
        </xdr:cNvPr>
        <xdr:cNvSpPr/>
      </xdr:nvSpPr>
      <xdr:spPr>
        <a:xfrm>
          <a:off x="4424807" y="8921369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438</xdr:row>
      <xdr:rowOff>25145</xdr:rowOff>
    </xdr:from>
    <xdr:ext cx="114300" cy="114300"/>
    <xdr:pic>
      <xdr:nvPicPr>
        <xdr:cNvPr id="916" name="image1.png">
          <a:extLst>
            <a:ext uri="{FF2B5EF4-FFF2-40B4-BE49-F238E27FC236}">
              <a16:creationId xmlns:a16="http://schemas.microsoft.com/office/drawing/2014/main" id="{02969D37-9C80-4DB7-A7A6-86C58367E9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8923248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441</xdr:row>
      <xdr:rowOff>3429</xdr:rowOff>
    </xdr:from>
    <xdr:ext cx="2141855" cy="0"/>
    <xdr:sp macro="" textlink="">
      <xdr:nvSpPr>
        <xdr:cNvPr id="917" name="Shape 382">
          <a:extLst>
            <a:ext uri="{FF2B5EF4-FFF2-40B4-BE49-F238E27FC236}">
              <a16:creationId xmlns:a16="http://schemas.microsoft.com/office/drawing/2014/main" id="{AB61D3BC-B4F2-4566-90C0-DB41306382B2}"/>
            </a:ext>
          </a:extLst>
        </xdr:cNvPr>
        <xdr:cNvSpPr/>
      </xdr:nvSpPr>
      <xdr:spPr>
        <a:xfrm>
          <a:off x="1650745" y="8990418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441</xdr:row>
      <xdr:rowOff>3175</xdr:rowOff>
    </xdr:from>
    <xdr:ext cx="828675" cy="0"/>
    <xdr:sp macro="" textlink="">
      <xdr:nvSpPr>
        <xdr:cNvPr id="918" name="Shape 383">
          <a:extLst>
            <a:ext uri="{FF2B5EF4-FFF2-40B4-BE49-F238E27FC236}">
              <a16:creationId xmlns:a16="http://schemas.microsoft.com/office/drawing/2014/main" id="{F8E497E0-75AD-4462-998F-FA6BF279ABFC}"/>
            </a:ext>
          </a:extLst>
        </xdr:cNvPr>
        <xdr:cNvSpPr/>
      </xdr:nvSpPr>
      <xdr:spPr>
        <a:xfrm>
          <a:off x="550037" y="899039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441</xdr:row>
      <xdr:rowOff>3175</xdr:rowOff>
    </xdr:from>
    <xdr:ext cx="828675" cy="0"/>
    <xdr:sp macro="" textlink="">
      <xdr:nvSpPr>
        <xdr:cNvPr id="919" name="Shape 384">
          <a:extLst>
            <a:ext uri="{FF2B5EF4-FFF2-40B4-BE49-F238E27FC236}">
              <a16:creationId xmlns:a16="http://schemas.microsoft.com/office/drawing/2014/main" id="{D90BE9AC-0B1E-425D-B19E-F68D532A2297}"/>
            </a:ext>
          </a:extLst>
        </xdr:cNvPr>
        <xdr:cNvSpPr/>
      </xdr:nvSpPr>
      <xdr:spPr>
        <a:xfrm>
          <a:off x="4403808" y="8990393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441</xdr:row>
      <xdr:rowOff>3175</xdr:rowOff>
    </xdr:from>
    <xdr:ext cx="371475" cy="0"/>
    <xdr:sp macro="" textlink="">
      <xdr:nvSpPr>
        <xdr:cNvPr id="920" name="Shape 385">
          <a:extLst>
            <a:ext uri="{FF2B5EF4-FFF2-40B4-BE49-F238E27FC236}">
              <a16:creationId xmlns:a16="http://schemas.microsoft.com/office/drawing/2014/main" id="{E4CCFD8D-17ED-4225-83F4-CA568BB999F4}"/>
            </a:ext>
          </a:extLst>
        </xdr:cNvPr>
        <xdr:cNvSpPr/>
      </xdr:nvSpPr>
      <xdr:spPr>
        <a:xfrm>
          <a:off x="8854440" y="8990393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442</xdr:row>
      <xdr:rowOff>0</xdr:rowOff>
    </xdr:from>
    <xdr:ext cx="828675" cy="0"/>
    <xdr:sp macro="" textlink="">
      <xdr:nvSpPr>
        <xdr:cNvPr id="921" name="Shape 386">
          <a:extLst>
            <a:ext uri="{FF2B5EF4-FFF2-40B4-BE49-F238E27FC236}">
              <a16:creationId xmlns:a16="http://schemas.microsoft.com/office/drawing/2014/main" id="{6F72673D-EF0E-4F93-AADA-29AA0E978BB9}"/>
            </a:ext>
          </a:extLst>
        </xdr:cNvPr>
        <xdr:cNvSpPr/>
      </xdr:nvSpPr>
      <xdr:spPr>
        <a:xfrm>
          <a:off x="4424807" y="9009888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442</xdr:row>
      <xdr:rowOff>18795</xdr:rowOff>
    </xdr:from>
    <xdr:ext cx="114300" cy="114300"/>
    <xdr:pic>
      <xdr:nvPicPr>
        <xdr:cNvPr id="922" name="image1.png">
          <a:extLst>
            <a:ext uri="{FF2B5EF4-FFF2-40B4-BE49-F238E27FC236}">
              <a16:creationId xmlns:a16="http://schemas.microsoft.com/office/drawing/2014/main" id="{32D2F0BA-2289-482F-BA30-17F90EC19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011767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444</xdr:row>
      <xdr:rowOff>327279</xdr:rowOff>
    </xdr:from>
    <xdr:ext cx="2141855" cy="0"/>
    <xdr:sp macro="" textlink="">
      <xdr:nvSpPr>
        <xdr:cNvPr id="923" name="Shape 388">
          <a:extLst>
            <a:ext uri="{FF2B5EF4-FFF2-40B4-BE49-F238E27FC236}">
              <a16:creationId xmlns:a16="http://schemas.microsoft.com/office/drawing/2014/main" id="{7C5BD976-B2C3-482E-B518-6E1C3846AFB3}"/>
            </a:ext>
          </a:extLst>
        </xdr:cNvPr>
        <xdr:cNvSpPr/>
      </xdr:nvSpPr>
      <xdr:spPr>
        <a:xfrm>
          <a:off x="1650745" y="9079191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444</xdr:row>
      <xdr:rowOff>327025</xdr:rowOff>
    </xdr:from>
    <xdr:ext cx="828675" cy="0"/>
    <xdr:sp macro="" textlink="">
      <xdr:nvSpPr>
        <xdr:cNvPr id="924" name="Shape 389">
          <a:extLst>
            <a:ext uri="{FF2B5EF4-FFF2-40B4-BE49-F238E27FC236}">
              <a16:creationId xmlns:a16="http://schemas.microsoft.com/office/drawing/2014/main" id="{1CDFEFE9-80EB-4A9A-A05D-FFE0B78480C2}"/>
            </a:ext>
          </a:extLst>
        </xdr:cNvPr>
        <xdr:cNvSpPr/>
      </xdr:nvSpPr>
      <xdr:spPr>
        <a:xfrm>
          <a:off x="550037" y="907916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444</xdr:row>
      <xdr:rowOff>327025</xdr:rowOff>
    </xdr:from>
    <xdr:ext cx="828675" cy="0"/>
    <xdr:sp macro="" textlink="">
      <xdr:nvSpPr>
        <xdr:cNvPr id="925" name="Shape 390">
          <a:extLst>
            <a:ext uri="{FF2B5EF4-FFF2-40B4-BE49-F238E27FC236}">
              <a16:creationId xmlns:a16="http://schemas.microsoft.com/office/drawing/2014/main" id="{5839FD54-F777-4F61-87E6-2AA70A337C88}"/>
            </a:ext>
          </a:extLst>
        </xdr:cNvPr>
        <xdr:cNvSpPr/>
      </xdr:nvSpPr>
      <xdr:spPr>
        <a:xfrm>
          <a:off x="4403808" y="9079166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444</xdr:row>
      <xdr:rowOff>327025</xdr:rowOff>
    </xdr:from>
    <xdr:ext cx="371475" cy="0"/>
    <xdr:sp macro="" textlink="">
      <xdr:nvSpPr>
        <xdr:cNvPr id="926" name="Shape 391">
          <a:extLst>
            <a:ext uri="{FF2B5EF4-FFF2-40B4-BE49-F238E27FC236}">
              <a16:creationId xmlns:a16="http://schemas.microsoft.com/office/drawing/2014/main" id="{A414AF10-886C-4C97-824F-28F1D78879DC}"/>
            </a:ext>
          </a:extLst>
        </xdr:cNvPr>
        <xdr:cNvSpPr/>
      </xdr:nvSpPr>
      <xdr:spPr>
        <a:xfrm>
          <a:off x="8854440" y="9079166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446</xdr:row>
      <xdr:rowOff>6350</xdr:rowOff>
    </xdr:from>
    <xdr:ext cx="828675" cy="0"/>
    <xdr:sp macro="" textlink="">
      <xdr:nvSpPr>
        <xdr:cNvPr id="927" name="Shape 392">
          <a:extLst>
            <a:ext uri="{FF2B5EF4-FFF2-40B4-BE49-F238E27FC236}">
              <a16:creationId xmlns:a16="http://schemas.microsoft.com/office/drawing/2014/main" id="{22E5DED7-804A-431D-A364-F124DA37A280}"/>
            </a:ext>
          </a:extLst>
        </xdr:cNvPr>
        <xdr:cNvSpPr/>
      </xdr:nvSpPr>
      <xdr:spPr>
        <a:xfrm>
          <a:off x="4424807" y="9098915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446</xdr:row>
      <xdr:rowOff>25145</xdr:rowOff>
    </xdr:from>
    <xdr:ext cx="114300" cy="114300"/>
    <xdr:pic>
      <xdr:nvPicPr>
        <xdr:cNvPr id="928" name="image1.png">
          <a:extLst>
            <a:ext uri="{FF2B5EF4-FFF2-40B4-BE49-F238E27FC236}">
              <a16:creationId xmlns:a16="http://schemas.microsoft.com/office/drawing/2014/main" id="{D79FF7C9-AE59-4F63-965A-5CB7F2EA1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1007945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449</xdr:row>
      <xdr:rowOff>3429</xdr:rowOff>
    </xdr:from>
    <xdr:ext cx="2141855" cy="0"/>
    <xdr:sp macro="" textlink="">
      <xdr:nvSpPr>
        <xdr:cNvPr id="929" name="Shape 394">
          <a:extLst>
            <a:ext uri="{FF2B5EF4-FFF2-40B4-BE49-F238E27FC236}">
              <a16:creationId xmlns:a16="http://schemas.microsoft.com/office/drawing/2014/main" id="{9AF9BA64-94C9-4B4C-8E1D-54A75C6622F3}"/>
            </a:ext>
          </a:extLst>
        </xdr:cNvPr>
        <xdr:cNvSpPr/>
      </xdr:nvSpPr>
      <xdr:spPr>
        <a:xfrm>
          <a:off x="1650745" y="9167964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449</xdr:row>
      <xdr:rowOff>3175</xdr:rowOff>
    </xdr:from>
    <xdr:ext cx="828675" cy="0"/>
    <xdr:sp macro="" textlink="">
      <xdr:nvSpPr>
        <xdr:cNvPr id="930" name="Shape 395">
          <a:extLst>
            <a:ext uri="{FF2B5EF4-FFF2-40B4-BE49-F238E27FC236}">
              <a16:creationId xmlns:a16="http://schemas.microsoft.com/office/drawing/2014/main" id="{B7D0D79B-F130-4E49-A904-825F83955E9C}"/>
            </a:ext>
          </a:extLst>
        </xdr:cNvPr>
        <xdr:cNvSpPr/>
      </xdr:nvSpPr>
      <xdr:spPr>
        <a:xfrm>
          <a:off x="550037" y="9167939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449</xdr:row>
      <xdr:rowOff>3175</xdr:rowOff>
    </xdr:from>
    <xdr:ext cx="828675" cy="0"/>
    <xdr:sp macro="" textlink="">
      <xdr:nvSpPr>
        <xdr:cNvPr id="931" name="Shape 396">
          <a:extLst>
            <a:ext uri="{FF2B5EF4-FFF2-40B4-BE49-F238E27FC236}">
              <a16:creationId xmlns:a16="http://schemas.microsoft.com/office/drawing/2014/main" id="{D81048A5-BAA9-410F-9D0B-9039A0472BB6}"/>
            </a:ext>
          </a:extLst>
        </xdr:cNvPr>
        <xdr:cNvSpPr/>
      </xdr:nvSpPr>
      <xdr:spPr>
        <a:xfrm>
          <a:off x="4403808" y="9167939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449</xdr:row>
      <xdr:rowOff>3175</xdr:rowOff>
    </xdr:from>
    <xdr:ext cx="371475" cy="0"/>
    <xdr:sp macro="" textlink="">
      <xdr:nvSpPr>
        <xdr:cNvPr id="932" name="Shape 397">
          <a:extLst>
            <a:ext uri="{FF2B5EF4-FFF2-40B4-BE49-F238E27FC236}">
              <a16:creationId xmlns:a16="http://schemas.microsoft.com/office/drawing/2014/main" id="{22564CF7-9404-4B4C-B405-26AB0725915E}"/>
            </a:ext>
          </a:extLst>
        </xdr:cNvPr>
        <xdr:cNvSpPr/>
      </xdr:nvSpPr>
      <xdr:spPr>
        <a:xfrm>
          <a:off x="8854440" y="9167939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450</xdr:row>
      <xdr:rowOff>0</xdr:rowOff>
    </xdr:from>
    <xdr:ext cx="828675" cy="0"/>
    <xdr:sp macro="" textlink="">
      <xdr:nvSpPr>
        <xdr:cNvPr id="933" name="Shape 398">
          <a:extLst>
            <a:ext uri="{FF2B5EF4-FFF2-40B4-BE49-F238E27FC236}">
              <a16:creationId xmlns:a16="http://schemas.microsoft.com/office/drawing/2014/main" id="{4E8FC305-826B-4E02-B2A3-EB3442B21212}"/>
            </a:ext>
          </a:extLst>
        </xdr:cNvPr>
        <xdr:cNvSpPr/>
      </xdr:nvSpPr>
      <xdr:spPr>
        <a:xfrm>
          <a:off x="4424807" y="9187434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450</xdr:row>
      <xdr:rowOff>18795</xdr:rowOff>
    </xdr:from>
    <xdr:ext cx="114300" cy="114299"/>
    <xdr:pic>
      <xdr:nvPicPr>
        <xdr:cNvPr id="934" name="image1.png">
          <a:extLst>
            <a:ext uri="{FF2B5EF4-FFF2-40B4-BE49-F238E27FC236}">
              <a16:creationId xmlns:a16="http://schemas.microsoft.com/office/drawing/2014/main" id="{0EDB877A-2EE3-4587-A7A8-8FAD9E1E0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1893135"/>
          <a:ext cx="114300" cy="114299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452</xdr:row>
      <xdr:rowOff>327279</xdr:rowOff>
    </xdr:from>
    <xdr:ext cx="2141855" cy="0"/>
    <xdr:sp macro="" textlink="">
      <xdr:nvSpPr>
        <xdr:cNvPr id="935" name="Shape 400">
          <a:extLst>
            <a:ext uri="{FF2B5EF4-FFF2-40B4-BE49-F238E27FC236}">
              <a16:creationId xmlns:a16="http://schemas.microsoft.com/office/drawing/2014/main" id="{D6F4E39B-CEA0-419C-B7F7-88B4F963FD1C}"/>
            </a:ext>
          </a:extLst>
        </xdr:cNvPr>
        <xdr:cNvSpPr/>
      </xdr:nvSpPr>
      <xdr:spPr>
        <a:xfrm>
          <a:off x="1650745" y="92567379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452</xdr:row>
      <xdr:rowOff>327025</xdr:rowOff>
    </xdr:from>
    <xdr:ext cx="828675" cy="0"/>
    <xdr:sp macro="" textlink="">
      <xdr:nvSpPr>
        <xdr:cNvPr id="936" name="Shape 401">
          <a:extLst>
            <a:ext uri="{FF2B5EF4-FFF2-40B4-BE49-F238E27FC236}">
              <a16:creationId xmlns:a16="http://schemas.microsoft.com/office/drawing/2014/main" id="{25F4E21B-07BB-4295-8CE1-602FBE0560BF}"/>
            </a:ext>
          </a:extLst>
        </xdr:cNvPr>
        <xdr:cNvSpPr/>
      </xdr:nvSpPr>
      <xdr:spPr>
        <a:xfrm>
          <a:off x="550037" y="9256712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60408</xdr:colOff>
      <xdr:row>452</xdr:row>
      <xdr:rowOff>327025</xdr:rowOff>
    </xdr:from>
    <xdr:ext cx="828675" cy="0"/>
    <xdr:sp macro="" textlink="">
      <xdr:nvSpPr>
        <xdr:cNvPr id="937" name="Shape 402">
          <a:extLst>
            <a:ext uri="{FF2B5EF4-FFF2-40B4-BE49-F238E27FC236}">
              <a16:creationId xmlns:a16="http://schemas.microsoft.com/office/drawing/2014/main" id="{CF575717-4FE1-467D-8F5C-C55766AB9E19}"/>
            </a:ext>
          </a:extLst>
        </xdr:cNvPr>
        <xdr:cNvSpPr/>
      </xdr:nvSpPr>
      <xdr:spPr>
        <a:xfrm>
          <a:off x="4403808" y="92567125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452</xdr:row>
      <xdr:rowOff>327025</xdr:rowOff>
    </xdr:from>
    <xdr:ext cx="371475" cy="0"/>
    <xdr:sp macro="" textlink="">
      <xdr:nvSpPr>
        <xdr:cNvPr id="938" name="Shape 403">
          <a:extLst>
            <a:ext uri="{FF2B5EF4-FFF2-40B4-BE49-F238E27FC236}">
              <a16:creationId xmlns:a16="http://schemas.microsoft.com/office/drawing/2014/main" id="{F8FFC40D-FB26-4FD7-8569-B3FB57DFD063}"/>
            </a:ext>
          </a:extLst>
        </xdr:cNvPr>
        <xdr:cNvSpPr/>
      </xdr:nvSpPr>
      <xdr:spPr>
        <a:xfrm>
          <a:off x="8854440" y="92567125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454</xdr:row>
      <xdr:rowOff>6350</xdr:rowOff>
    </xdr:from>
    <xdr:ext cx="828675" cy="0"/>
    <xdr:sp macro="" textlink="">
      <xdr:nvSpPr>
        <xdr:cNvPr id="939" name="Shape 404">
          <a:extLst>
            <a:ext uri="{FF2B5EF4-FFF2-40B4-BE49-F238E27FC236}">
              <a16:creationId xmlns:a16="http://schemas.microsoft.com/office/drawing/2014/main" id="{7A52665F-2735-4DD7-8C49-DC46856E18E6}"/>
            </a:ext>
          </a:extLst>
        </xdr:cNvPr>
        <xdr:cNvSpPr/>
      </xdr:nvSpPr>
      <xdr:spPr>
        <a:xfrm>
          <a:off x="4424807" y="92764610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454</xdr:row>
      <xdr:rowOff>25145</xdr:rowOff>
    </xdr:from>
    <xdr:ext cx="114300" cy="114300"/>
    <xdr:pic>
      <xdr:nvPicPr>
        <xdr:cNvPr id="940" name="image1.png">
          <a:extLst>
            <a:ext uri="{FF2B5EF4-FFF2-40B4-BE49-F238E27FC236}">
              <a16:creationId xmlns:a16="http://schemas.microsoft.com/office/drawing/2014/main" id="{035421D2-4F7B-46E4-80D8-CFEE4DEF7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2783405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457</xdr:row>
      <xdr:rowOff>260352</xdr:rowOff>
    </xdr:from>
    <xdr:ext cx="828675" cy="0"/>
    <xdr:sp macro="" textlink="">
      <xdr:nvSpPr>
        <xdr:cNvPr id="941" name="Shape 406">
          <a:extLst>
            <a:ext uri="{FF2B5EF4-FFF2-40B4-BE49-F238E27FC236}">
              <a16:creationId xmlns:a16="http://schemas.microsoft.com/office/drawing/2014/main" id="{45FB9354-EBC6-4D11-A537-47B54CE2F0B2}"/>
            </a:ext>
          </a:extLst>
        </xdr:cNvPr>
        <xdr:cNvSpPr/>
      </xdr:nvSpPr>
      <xdr:spPr>
        <a:xfrm>
          <a:off x="551688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457</xdr:row>
      <xdr:rowOff>260606</xdr:rowOff>
    </xdr:from>
    <xdr:ext cx="2141855" cy="0"/>
    <xdr:sp macro="" textlink="">
      <xdr:nvSpPr>
        <xdr:cNvPr id="942" name="Shape 407">
          <a:extLst>
            <a:ext uri="{FF2B5EF4-FFF2-40B4-BE49-F238E27FC236}">
              <a16:creationId xmlns:a16="http://schemas.microsoft.com/office/drawing/2014/main" id="{4D15E274-9E2C-4914-879A-4AE904A17BE6}"/>
            </a:ext>
          </a:extLst>
        </xdr:cNvPr>
        <xdr:cNvSpPr/>
      </xdr:nvSpPr>
      <xdr:spPr>
        <a:xfrm>
          <a:off x="1645920" y="933693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457</xdr:row>
      <xdr:rowOff>260352</xdr:rowOff>
    </xdr:from>
    <xdr:ext cx="828675" cy="0"/>
    <xdr:sp macro="" textlink="">
      <xdr:nvSpPr>
        <xdr:cNvPr id="943" name="Shape 408">
          <a:extLst>
            <a:ext uri="{FF2B5EF4-FFF2-40B4-BE49-F238E27FC236}">
              <a16:creationId xmlns:a16="http://schemas.microsoft.com/office/drawing/2014/main" id="{B0A12543-96F7-4DA8-9CA0-73F0F9BB770A}"/>
            </a:ext>
          </a:extLst>
        </xdr:cNvPr>
        <xdr:cNvSpPr/>
      </xdr:nvSpPr>
      <xdr:spPr>
        <a:xfrm>
          <a:off x="550037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457</xdr:row>
      <xdr:rowOff>260352</xdr:rowOff>
    </xdr:from>
    <xdr:ext cx="828675" cy="0"/>
    <xdr:sp macro="" textlink="">
      <xdr:nvSpPr>
        <xdr:cNvPr id="944" name="Shape 409">
          <a:extLst>
            <a:ext uri="{FF2B5EF4-FFF2-40B4-BE49-F238E27FC236}">
              <a16:creationId xmlns:a16="http://schemas.microsoft.com/office/drawing/2014/main" id="{70400910-C135-47FB-8BAB-EB6B80E866F7}"/>
            </a:ext>
          </a:extLst>
        </xdr:cNvPr>
        <xdr:cNvSpPr/>
      </xdr:nvSpPr>
      <xdr:spPr>
        <a:xfrm>
          <a:off x="774192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457</xdr:row>
      <xdr:rowOff>260352</xdr:rowOff>
    </xdr:from>
    <xdr:ext cx="828675" cy="0"/>
    <xdr:sp macro="" textlink="">
      <xdr:nvSpPr>
        <xdr:cNvPr id="945" name="Shape 410">
          <a:extLst>
            <a:ext uri="{FF2B5EF4-FFF2-40B4-BE49-F238E27FC236}">
              <a16:creationId xmlns:a16="http://schemas.microsoft.com/office/drawing/2014/main" id="{0413126C-008E-42CF-9B25-91D84BD8F1FB}"/>
            </a:ext>
          </a:extLst>
        </xdr:cNvPr>
        <xdr:cNvSpPr/>
      </xdr:nvSpPr>
      <xdr:spPr>
        <a:xfrm>
          <a:off x="4419663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457</xdr:row>
      <xdr:rowOff>260352</xdr:rowOff>
    </xdr:from>
    <xdr:ext cx="828675" cy="0"/>
    <xdr:sp macro="" textlink="">
      <xdr:nvSpPr>
        <xdr:cNvPr id="946" name="Shape 411">
          <a:extLst>
            <a:ext uri="{FF2B5EF4-FFF2-40B4-BE49-F238E27FC236}">
              <a16:creationId xmlns:a16="http://schemas.microsoft.com/office/drawing/2014/main" id="{7503E7AA-E894-410A-8E9C-B5B791A64E54}"/>
            </a:ext>
          </a:extLst>
        </xdr:cNvPr>
        <xdr:cNvSpPr/>
      </xdr:nvSpPr>
      <xdr:spPr>
        <a:xfrm>
          <a:off x="6629400" y="933691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457</xdr:row>
      <xdr:rowOff>260352</xdr:rowOff>
    </xdr:from>
    <xdr:ext cx="371475" cy="0"/>
    <xdr:sp macro="" textlink="">
      <xdr:nvSpPr>
        <xdr:cNvPr id="947" name="Shape 412">
          <a:extLst>
            <a:ext uri="{FF2B5EF4-FFF2-40B4-BE49-F238E27FC236}">
              <a16:creationId xmlns:a16="http://schemas.microsoft.com/office/drawing/2014/main" id="{B4CDB56C-4F36-4165-9758-9F78840835C3}"/>
            </a:ext>
          </a:extLst>
        </xdr:cNvPr>
        <xdr:cNvSpPr/>
      </xdr:nvSpPr>
      <xdr:spPr>
        <a:xfrm>
          <a:off x="8854440" y="933691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458</xdr:row>
      <xdr:rowOff>21973</xdr:rowOff>
    </xdr:from>
    <xdr:ext cx="114300" cy="114300"/>
    <xdr:pic>
      <xdr:nvPicPr>
        <xdr:cNvPr id="948" name="image1.png">
          <a:extLst>
            <a:ext uri="{FF2B5EF4-FFF2-40B4-BE49-F238E27FC236}">
              <a16:creationId xmlns:a16="http://schemas.microsoft.com/office/drawing/2014/main" id="{5B1E8AE8-5050-4B72-9024-2C3A0D6A8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358033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461</xdr:row>
      <xdr:rowOff>256</xdr:rowOff>
    </xdr:from>
    <xdr:ext cx="2141855" cy="0"/>
    <xdr:sp macro="" textlink="">
      <xdr:nvSpPr>
        <xdr:cNvPr id="949" name="Shape 414">
          <a:extLst>
            <a:ext uri="{FF2B5EF4-FFF2-40B4-BE49-F238E27FC236}">
              <a16:creationId xmlns:a16="http://schemas.microsoft.com/office/drawing/2014/main" id="{62B4F180-1D1F-4F8A-8217-E3CC7C0EE562}"/>
            </a:ext>
          </a:extLst>
        </xdr:cNvPr>
        <xdr:cNvSpPr/>
      </xdr:nvSpPr>
      <xdr:spPr>
        <a:xfrm>
          <a:off x="1613874" y="9425203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461</xdr:row>
      <xdr:rowOff>2</xdr:rowOff>
    </xdr:from>
    <xdr:ext cx="828675" cy="0"/>
    <xdr:sp macro="" textlink="">
      <xdr:nvSpPr>
        <xdr:cNvPr id="950" name="Shape 415">
          <a:extLst>
            <a:ext uri="{FF2B5EF4-FFF2-40B4-BE49-F238E27FC236}">
              <a16:creationId xmlns:a16="http://schemas.microsoft.com/office/drawing/2014/main" id="{A5E56769-7E42-445B-B49F-E230473C7FBF}"/>
            </a:ext>
          </a:extLst>
        </xdr:cNvPr>
        <xdr:cNvSpPr/>
      </xdr:nvSpPr>
      <xdr:spPr>
        <a:xfrm>
          <a:off x="489305" y="9425178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461</xdr:row>
      <xdr:rowOff>2</xdr:rowOff>
    </xdr:from>
    <xdr:ext cx="371475" cy="0"/>
    <xdr:sp macro="" textlink="">
      <xdr:nvSpPr>
        <xdr:cNvPr id="951" name="Shape 416">
          <a:extLst>
            <a:ext uri="{FF2B5EF4-FFF2-40B4-BE49-F238E27FC236}">
              <a16:creationId xmlns:a16="http://schemas.microsoft.com/office/drawing/2014/main" id="{DA804A28-82A4-4D28-A2F2-D4022DD7F1DE}"/>
            </a:ext>
          </a:extLst>
        </xdr:cNvPr>
        <xdr:cNvSpPr/>
      </xdr:nvSpPr>
      <xdr:spPr>
        <a:xfrm>
          <a:off x="8854440" y="9425178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462</xdr:row>
      <xdr:rowOff>15623</xdr:rowOff>
    </xdr:from>
    <xdr:ext cx="114300" cy="114300"/>
    <xdr:pic>
      <xdr:nvPicPr>
        <xdr:cNvPr id="952" name="image1.png">
          <a:extLst>
            <a:ext uri="{FF2B5EF4-FFF2-40B4-BE49-F238E27FC236}">
              <a16:creationId xmlns:a16="http://schemas.microsoft.com/office/drawing/2014/main" id="{B851149F-BA47-427A-B404-777EF3CD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446552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465</xdr:row>
      <xdr:rowOff>6606</xdr:rowOff>
    </xdr:from>
    <xdr:ext cx="2141855" cy="0"/>
    <xdr:sp macro="" textlink="">
      <xdr:nvSpPr>
        <xdr:cNvPr id="953" name="Shape 418">
          <a:extLst>
            <a:ext uri="{FF2B5EF4-FFF2-40B4-BE49-F238E27FC236}">
              <a16:creationId xmlns:a16="http://schemas.microsoft.com/office/drawing/2014/main" id="{D0886AD9-6AE3-40BB-9417-034049D42143}"/>
            </a:ext>
          </a:extLst>
        </xdr:cNvPr>
        <xdr:cNvSpPr/>
      </xdr:nvSpPr>
      <xdr:spPr>
        <a:xfrm>
          <a:off x="1650745" y="9513468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465</xdr:row>
      <xdr:rowOff>6352</xdr:rowOff>
    </xdr:from>
    <xdr:ext cx="828675" cy="0"/>
    <xdr:sp macro="" textlink="">
      <xdr:nvSpPr>
        <xdr:cNvPr id="954" name="Shape 419">
          <a:extLst>
            <a:ext uri="{FF2B5EF4-FFF2-40B4-BE49-F238E27FC236}">
              <a16:creationId xmlns:a16="http://schemas.microsoft.com/office/drawing/2014/main" id="{0DF3FA34-280C-4165-BA93-9182817C87A4}"/>
            </a:ext>
          </a:extLst>
        </xdr:cNvPr>
        <xdr:cNvSpPr/>
      </xdr:nvSpPr>
      <xdr:spPr>
        <a:xfrm>
          <a:off x="550037" y="9513443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465</xdr:row>
      <xdr:rowOff>6352</xdr:rowOff>
    </xdr:from>
    <xdr:ext cx="371475" cy="0"/>
    <xdr:sp macro="" textlink="">
      <xdr:nvSpPr>
        <xdr:cNvPr id="955" name="Shape 420">
          <a:extLst>
            <a:ext uri="{FF2B5EF4-FFF2-40B4-BE49-F238E27FC236}">
              <a16:creationId xmlns:a16="http://schemas.microsoft.com/office/drawing/2014/main" id="{597443CB-12F2-4F5D-8812-B4B7ECFF402B}"/>
            </a:ext>
          </a:extLst>
        </xdr:cNvPr>
        <xdr:cNvSpPr/>
      </xdr:nvSpPr>
      <xdr:spPr>
        <a:xfrm>
          <a:off x="8854440" y="9513443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466</xdr:row>
      <xdr:rowOff>21973</xdr:rowOff>
    </xdr:from>
    <xdr:ext cx="114300" cy="114300"/>
    <xdr:pic>
      <xdr:nvPicPr>
        <xdr:cNvPr id="956" name="image1.png">
          <a:extLst>
            <a:ext uri="{FF2B5EF4-FFF2-40B4-BE49-F238E27FC236}">
              <a16:creationId xmlns:a16="http://schemas.microsoft.com/office/drawing/2014/main" id="{B808603C-8254-4999-B7CC-7EB778548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534817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469</xdr:row>
      <xdr:rowOff>256</xdr:rowOff>
    </xdr:from>
    <xdr:ext cx="2141855" cy="0"/>
    <xdr:sp macro="" textlink="">
      <xdr:nvSpPr>
        <xdr:cNvPr id="957" name="Shape 422">
          <a:extLst>
            <a:ext uri="{FF2B5EF4-FFF2-40B4-BE49-F238E27FC236}">
              <a16:creationId xmlns:a16="http://schemas.microsoft.com/office/drawing/2014/main" id="{15AD19C8-E28C-4390-AD45-BB1D06259F35}"/>
            </a:ext>
          </a:extLst>
        </xdr:cNvPr>
        <xdr:cNvSpPr/>
      </xdr:nvSpPr>
      <xdr:spPr>
        <a:xfrm>
          <a:off x="1613874" y="9601987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469</xdr:row>
      <xdr:rowOff>2</xdr:rowOff>
    </xdr:from>
    <xdr:ext cx="828675" cy="0"/>
    <xdr:sp macro="" textlink="">
      <xdr:nvSpPr>
        <xdr:cNvPr id="958" name="Shape 423">
          <a:extLst>
            <a:ext uri="{FF2B5EF4-FFF2-40B4-BE49-F238E27FC236}">
              <a16:creationId xmlns:a16="http://schemas.microsoft.com/office/drawing/2014/main" id="{D705771A-5E70-465B-BCBC-1AA76EC23341}"/>
            </a:ext>
          </a:extLst>
        </xdr:cNvPr>
        <xdr:cNvSpPr/>
      </xdr:nvSpPr>
      <xdr:spPr>
        <a:xfrm>
          <a:off x="489305" y="9601962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469</xdr:row>
      <xdr:rowOff>2</xdr:rowOff>
    </xdr:from>
    <xdr:ext cx="371475" cy="0"/>
    <xdr:sp macro="" textlink="">
      <xdr:nvSpPr>
        <xdr:cNvPr id="959" name="Shape 424">
          <a:extLst>
            <a:ext uri="{FF2B5EF4-FFF2-40B4-BE49-F238E27FC236}">
              <a16:creationId xmlns:a16="http://schemas.microsoft.com/office/drawing/2014/main" id="{A9CEA762-8076-4D06-A02E-C124FE476CB8}"/>
            </a:ext>
          </a:extLst>
        </xdr:cNvPr>
        <xdr:cNvSpPr/>
      </xdr:nvSpPr>
      <xdr:spPr>
        <a:xfrm>
          <a:off x="8854440" y="9601962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471</xdr:row>
      <xdr:rowOff>15623</xdr:rowOff>
    </xdr:from>
    <xdr:ext cx="114300" cy="114300"/>
    <xdr:pic>
      <xdr:nvPicPr>
        <xdr:cNvPr id="960" name="image1.png">
          <a:extLst>
            <a:ext uri="{FF2B5EF4-FFF2-40B4-BE49-F238E27FC236}">
              <a16:creationId xmlns:a16="http://schemas.microsoft.com/office/drawing/2014/main" id="{5A160861-A97F-407A-89BC-15141095A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638576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474</xdr:row>
      <xdr:rowOff>6606</xdr:rowOff>
    </xdr:from>
    <xdr:ext cx="2141855" cy="0"/>
    <xdr:sp macro="" textlink="">
      <xdr:nvSpPr>
        <xdr:cNvPr id="961" name="Shape 426">
          <a:extLst>
            <a:ext uri="{FF2B5EF4-FFF2-40B4-BE49-F238E27FC236}">
              <a16:creationId xmlns:a16="http://schemas.microsoft.com/office/drawing/2014/main" id="{937B4E85-8B0E-44D6-B5D3-9792BD80F924}"/>
            </a:ext>
          </a:extLst>
        </xdr:cNvPr>
        <xdr:cNvSpPr/>
      </xdr:nvSpPr>
      <xdr:spPr>
        <a:xfrm>
          <a:off x="1650745" y="9705492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474</xdr:row>
      <xdr:rowOff>6352</xdr:rowOff>
    </xdr:from>
    <xdr:ext cx="828675" cy="0"/>
    <xdr:sp macro="" textlink="">
      <xdr:nvSpPr>
        <xdr:cNvPr id="962" name="Shape 427">
          <a:extLst>
            <a:ext uri="{FF2B5EF4-FFF2-40B4-BE49-F238E27FC236}">
              <a16:creationId xmlns:a16="http://schemas.microsoft.com/office/drawing/2014/main" id="{10F01D63-6E3B-4572-B60A-8E21048AC3B1}"/>
            </a:ext>
          </a:extLst>
        </xdr:cNvPr>
        <xdr:cNvSpPr/>
      </xdr:nvSpPr>
      <xdr:spPr>
        <a:xfrm>
          <a:off x="550037" y="9705467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474</xdr:row>
      <xdr:rowOff>6352</xdr:rowOff>
    </xdr:from>
    <xdr:ext cx="371475" cy="0"/>
    <xdr:sp macro="" textlink="">
      <xdr:nvSpPr>
        <xdr:cNvPr id="963" name="Shape 428">
          <a:extLst>
            <a:ext uri="{FF2B5EF4-FFF2-40B4-BE49-F238E27FC236}">
              <a16:creationId xmlns:a16="http://schemas.microsoft.com/office/drawing/2014/main" id="{A1E89690-7A14-4505-BB60-1536094CB345}"/>
            </a:ext>
          </a:extLst>
        </xdr:cNvPr>
        <xdr:cNvSpPr/>
      </xdr:nvSpPr>
      <xdr:spPr>
        <a:xfrm>
          <a:off x="8854440" y="9705467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475</xdr:row>
      <xdr:rowOff>21973</xdr:rowOff>
    </xdr:from>
    <xdr:ext cx="114300" cy="114300"/>
    <xdr:pic>
      <xdr:nvPicPr>
        <xdr:cNvPr id="964" name="image1.png">
          <a:extLst>
            <a:ext uri="{FF2B5EF4-FFF2-40B4-BE49-F238E27FC236}">
              <a16:creationId xmlns:a16="http://schemas.microsoft.com/office/drawing/2014/main" id="{E6343007-FC03-4CDE-B03B-A4EDE50DC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726841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478</xdr:row>
      <xdr:rowOff>256</xdr:rowOff>
    </xdr:from>
    <xdr:ext cx="2141855" cy="0"/>
    <xdr:sp macro="" textlink="">
      <xdr:nvSpPr>
        <xdr:cNvPr id="965" name="Shape 430">
          <a:extLst>
            <a:ext uri="{FF2B5EF4-FFF2-40B4-BE49-F238E27FC236}">
              <a16:creationId xmlns:a16="http://schemas.microsoft.com/office/drawing/2014/main" id="{E044426F-D8ED-413A-9771-8F60FE9A8F0B}"/>
            </a:ext>
          </a:extLst>
        </xdr:cNvPr>
        <xdr:cNvSpPr/>
      </xdr:nvSpPr>
      <xdr:spPr>
        <a:xfrm>
          <a:off x="1613874" y="9794011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478</xdr:row>
      <xdr:rowOff>2</xdr:rowOff>
    </xdr:from>
    <xdr:ext cx="828675" cy="0"/>
    <xdr:sp macro="" textlink="">
      <xdr:nvSpPr>
        <xdr:cNvPr id="966" name="Shape 431">
          <a:extLst>
            <a:ext uri="{FF2B5EF4-FFF2-40B4-BE49-F238E27FC236}">
              <a16:creationId xmlns:a16="http://schemas.microsoft.com/office/drawing/2014/main" id="{2D9F4D79-DEAB-4869-8CC3-58FA7E247DD0}"/>
            </a:ext>
          </a:extLst>
        </xdr:cNvPr>
        <xdr:cNvSpPr/>
      </xdr:nvSpPr>
      <xdr:spPr>
        <a:xfrm>
          <a:off x="489305" y="9793986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17907</xdr:colOff>
      <xdr:row>478</xdr:row>
      <xdr:rowOff>2</xdr:rowOff>
    </xdr:from>
    <xdr:ext cx="828675" cy="0"/>
    <xdr:sp macro="" textlink="">
      <xdr:nvSpPr>
        <xdr:cNvPr id="967" name="Shape 432">
          <a:extLst>
            <a:ext uri="{FF2B5EF4-FFF2-40B4-BE49-F238E27FC236}">
              <a16:creationId xmlns:a16="http://schemas.microsoft.com/office/drawing/2014/main" id="{96E01F35-8759-426D-908B-5B6A5A3CF07D}"/>
            </a:ext>
          </a:extLst>
        </xdr:cNvPr>
        <xdr:cNvSpPr/>
      </xdr:nvSpPr>
      <xdr:spPr>
        <a:xfrm>
          <a:off x="4437507" y="9793986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478</xdr:row>
      <xdr:rowOff>2</xdr:rowOff>
    </xdr:from>
    <xdr:ext cx="371475" cy="0"/>
    <xdr:sp macro="" textlink="">
      <xdr:nvSpPr>
        <xdr:cNvPr id="968" name="Shape 433">
          <a:extLst>
            <a:ext uri="{FF2B5EF4-FFF2-40B4-BE49-F238E27FC236}">
              <a16:creationId xmlns:a16="http://schemas.microsoft.com/office/drawing/2014/main" id="{9D887E8F-E3B5-49AD-AFD6-692DAE053650}"/>
            </a:ext>
          </a:extLst>
        </xdr:cNvPr>
        <xdr:cNvSpPr/>
      </xdr:nvSpPr>
      <xdr:spPr>
        <a:xfrm>
          <a:off x="8854440" y="9793986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479</xdr:row>
      <xdr:rowOff>187327</xdr:rowOff>
    </xdr:from>
    <xdr:ext cx="828675" cy="0"/>
    <xdr:sp macro="" textlink="">
      <xdr:nvSpPr>
        <xdr:cNvPr id="969" name="Shape 434">
          <a:extLst>
            <a:ext uri="{FF2B5EF4-FFF2-40B4-BE49-F238E27FC236}">
              <a16:creationId xmlns:a16="http://schemas.microsoft.com/office/drawing/2014/main" id="{BFBDEE9D-3DEE-4229-B490-B9A905BA0F44}"/>
            </a:ext>
          </a:extLst>
        </xdr:cNvPr>
        <xdr:cNvSpPr/>
      </xdr:nvSpPr>
      <xdr:spPr>
        <a:xfrm>
          <a:off x="4424807" y="9828720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480</xdr:row>
      <xdr:rowOff>15623</xdr:rowOff>
    </xdr:from>
    <xdr:ext cx="114300" cy="114300"/>
    <xdr:pic>
      <xdr:nvPicPr>
        <xdr:cNvPr id="970" name="image1.png">
          <a:extLst>
            <a:ext uri="{FF2B5EF4-FFF2-40B4-BE49-F238E27FC236}">
              <a16:creationId xmlns:a16="http://schemas.microsoft.com/office/drawing/2014/main" id="{C6DC554A-EA88-4545-AB25-11330C5951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830600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483</xdr:row>
      <xdr:rowOff>6606</xdr:rowOff>
    </xdr:from>
    <xdr:ext cx="2141855" cy="0"/>
    <xdr:sp macro="" textlink="">
      <xdr:nvSpPr>
        <xdr:cNvPr id="971" name="Shape 436">
          <a:extLst>
            <a:ext uri="{FF2B5EF4-FFF2-40B4-BE49-F238E27FC236}">
              <a16:creationId xmlns:a16="http://schemas.microsoft.com/office/drawing/2014/main" id="{5B016C0E-CCB3-4927-83D3-9B63E0A086A8}"/>
            </a:ext>
          </a:extLst>
        </xdr:cNvPr>
        <xdr:cNvSpPr/>
      </xdr:nvSpPr>
      <xdr:spPr>
        <a:xfrm>
          <a:off x="1650745" y="9897516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483</xdr:row>
      <xdr:rowOff>6352</xdr:rowOff>
    </xdr:from>
    <xdr:ext cx="828675" cy="0"/>
    <xdr:sp macro="" textlink="">
      <xdr:nvSpPr>
        <xdr:cNvPr id="972" name="Shape 437">
          <a:extLst>
            <a:ext uri="{FF2B5EF4-FFF2-40B4-BE49-F238E27FC236}">
              <a16:creationId xmlns:a16="http://schemas.microsoft.com/office/drawing/2014/main" id="{188D51C3-AC1C-4DDD-BB3C-41B65BA4F174}"/>
            </a:ext>
          </a:extLst>
        </xdr:cNvPr>
        <xdr:cNvSpPr/>
      </xdr:nvSpPr>
      <xdr:spPr>
        <a:xfrm>
          <a:off x="550037" y="9897491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60404</xdr:colOff>
      <xdr:row>483</xdr:row>
      <xdr:rowOff>6352</xdr:rowOff>
    </xdr:from>
    <xdr:ext cx="828675" cy="0"/>
    <xdr:sp macro="" textlink="">
      <xdr:nvSpPr>
        <xdr:cNvPr id="973" name="Shape 438">
          <a:extLst>
            <a:ext uri="{FF2B5EF4-FFF2-40B4-BE49-F238E27FC236}">
              <a16:creationId xmlns:a16="http://schemas.microsoft.com/office/drawing/2014/main" id="{E5C3E53D-7606-4EAB-B438-4EC889A1A50F}"/>
            </a:ext>
          </a:extLst>
        </xdr:cNvPr>
        <xdr:cNvSpPr/>
      </xdr:nvSpPr>
      <xdr:spPr>
        <a:xfrm>
          <a:off x="4403804" y="9897491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483</xdr:row>
      <xdr:rowOff>6352</xdr:rowOff>
    </xdr:from>
    <xdr:ext cx="371475" cy="0"/>
    <xdr:sp macro="" textlink="">
      <xdr:nvSpPr>
        <xdr:cNvPr id="974" name="Shape 439">
          <a:extLst>
            <a:ext uri="{FF2B5EF4-FFF2-40B4-BE49-F238E27FC236}">
              <a16:creationId xmlns:a16="http://schemas.microsoft.com/office/drawing/2014/main" id="{BF810BAD-8689-4E0D-B0E5-11408013F3EB}"/>
            </a:ext>
          </a:extLst>
        </xdr:cNvPr>
        <xdr:cNvSpPr/>
      </xdr:nvSpPr>
      <xdr:spPr>
        <a:xfrm>
          <a:off x="8854440" y="9897491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5207</xdr:colOff>
      <xdr:row>484</xdr:row>
      <xdr:rowOff>3177</xdr:rowOff>
    </xdr:from>
    <xdr:ext cx="828675" cy="0"/>
    <xdr:sp macro="" textlink="">
      <xdr:nvSpPr>
        <xdr:cNvPr id="975" name="Shape 440">
          <a:extLst>
            <a:ext uri="{FF2B5EF4-FFF2-40B4-BE49-F238E27FC236}">
              <a16:creationId xmlns:a16="http://schemas.microsoft.com/office/drawing/2014/main" id="{527F38D0-4210-4B9A-A4F8-73348A88EEED}"/>
            </a:ext>
          </a:extLst>
        </xdr:cNvPr>
        <xdr:cNvSpPr/>
      </xdr:nvSpPr>
      <xdr:spPr>
        <a:xfrm>
          <a:off x="4424807" y="99169857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484</xdr:row>
      <xdr:rowOff>21973</xdr:rowOff>
    </xdr:from>
    <xdr:ext cx="114300" cy="114300"/>
    <xdr:pic>
      <xdr:nvPicPr>
        <xdr:cNvPr id="976" name="image1.png">
          <a:extLst>
            <a:ext uri="{FF2B5EF4-FFF2-40B4-BE49-F238E27FC236}">
              <a16:creationId xmlns:a16="http://schemas.microsoft.com/office/drawing/2014/main" id="{C2A11A19-F1DC-4097-A5FF-840E79289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99188653"/>
          <a:ext cx="114300" cy="114300"/>
        </a:xfrm>
        <a:prstGeom prst="rect">
          <a:avLst/>
        </a:prstGeom>
      </xdr:spPr>
    </xdr:pic>
    <xdr:clientData/>
  </xdr:oneCellAnchor>
  <xdr:oneCellAnchor>
    <xdr:from>
      <xdr:col>7</xdr:col>
      <xdr:colOff>44154</xdr:colOff>
      <xdr:row>487</xdr:row>
      <xdr:rowOff>256</xdr:rowOff>
    </xdr:from>
    <xdr:ext cx="2141855" cy="0"/>
    <xdr:sp macro="" textlink="">
      <xdr:nvSpPr>
        <xdr:cNvPr id="977" name="Shape 442">
          <a:extLst>
            <a:ext uri="{FF2B5EF4-FFF2-40B4-BE49-F238E27FC236}">
              <a16:creationId xmlns:a16="http://schemas.microsoft.com/office/drawing/2014/main" id="{371DFEE6-DCC6-44F0-84F0-93E42293BB8E}"/>
            </a:ext>
          </a:extLst>
        </xdr:cNvPr>
        <xdr:cNvSpPr/>
      </xdr:nvSpPr>
      <xdr:spPr>
        <a:xfrm>
          <a:off x="1613874" y="9986035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487</xdr:row>
      <xdr:rowOff>2</xdr:rowOff>
    </xdr:from>
    <xdr:ext cx="828675" cy="0"/>
    <xdr:sp macro="" textlink="">
      <xdr:nvSpPr>
        <xdr:cNvPr id="978" name="Shape 443">
          <a:extLst>
            <a:ext uri="{FF2B5EF4-FFF2-40B4-BE49-F238E27FC236}">
              <a16:creationId xmlns:a16="http://schemas.microsoft.com/office/drawing/2014/main" id="{6386E9FE-F026-40E8-95C2-5C8F00E17C60}"/>
            </a:ext>
          </a:extLst>
        </xdr:cNvPr>
        <xdr:cNvSpPr/>
      </xdr:nvSpPr>
      <xdr:spPr>
        <a:xfrm>
          <a:off x="489305" y="9986010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487</xdr:row>
      <xdr:rowOff>2</xdr:rowOff>
    </xdr:from>
    <xdr:ext cx="371475" cy="0"/>
    <xdr:sp macro="" textlink="">
      <xdr:nvSpPr>
        <xdr:cNvPr id="979" name="Shape 444">
          <a:extLst>
            <a:ext uri="{FF2B5EF4-FFF2-40B4-BE49-F238E27FC236}">
              <a16:creationId xmlns:a16="http://schemas.microsoft.com/office/drawing/2014/main" id="{8ECAA082-FB0D-486B-ACA3-636E11F1B8C0}"/>
            </a:ext>
          </a:extLst>
        </xdr:cNvPr>
        <xdr:cNvSpPr/>
      </xdr:nvSpPr>
      <xdr:spPr>
        <a:xfrm>
          <a:off x="8854440" y="9986010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489</xdr:row>
      <xdr:rowOff>15623</xdr:rowOff>
    </xdr:from>
    <xdr:ext cx="114300" cy="114300"/>
    <xdr:pic>
      <xdr:nvPicPr>
        <xdr:cNvPr id="980" name="image1.png">
          <a:extLst>
            <a:ext uri="{FF2B5EF4-FFF2-40B4-BE49-F238E27FC236}">
              <a16:creationId xmlns:a16="http://schemas.microsoft.com/office/drawing/2014/main" id="{7E6C67CB-801A-4A62-92BA-62F920FBC0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0226243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492</xdr:row>
      <xdr:rowOff>6606</xdr:rowOff>
    </xdr:from>
    <xdr:ext cx="2141855" cy="0"/>
    <xdr:sp macro="" textlink="">
      <xdr:nvSpPr>
        <xdr:cNvPr id="981" name="Shape 446">
          <a:extLst>
            <a:ext uri="{FF2B5EF4-FFF2-40B4-BE49-F238E27FC236}">
              <a16:creationId xmlns:a16="http://schemas.microsoft.com/office/drawing/2014/main" id="{17116935-A045-43A1-AF30-CD1289947687}"/>
            </a:ext>
          </a:extLst>
        </xdr:cNvPr>
        <xdr:cNvSpPr/>
      </xdr:nvSpPr>
      <xdr:spPr>
        <a:xfrm>
          <a:off x="1650745" y="100895406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492</xdr:row>
      <xdr:rowOff>6352</xdr:rowOff>
    </xdr:from>
    <xdr:ext cx="828675" cy="0"/>
    <xdr:sp macro="" textlink="">
      <xdr:nvSpPr>
        <xdr:cNvPr id="982" name="Shape 447">
          <a:extLst>
            <a:ext uri="{FF2B5EF4-FFF2-40B4-BE49-F238E27FC236}">
              <a16:creationId xmlns:a16="http://schemas.microsoft.com/office/drawing/2014/main" id="{370FC536-C554-44E2-AA32-E78B6CA2D505}"/>
            </a:ext>
          </a:extLst>
        </xdr:cNvPr>
        <xdr:cNvSpPr/>
      </xdr:nvSpPr>
      <xdr:spPr>
        <a:xfrm>
          <a:off x="550037" y="100895152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492</xdr:row>
      <xdr:rowOff>6352</xdr:rowOff>
    </xdr:from>
    <xdr:ext cx="371475" cy="0"/>
    <xdr:sp macro="" textlink="">
      <xdr:nvSpPr>
        <xdr:cNvPr id="983" name="Shape 448">
          <a:extLst>
            <a:ext uri="{FF2B5EF4-FFF2-40B4-BE49-F238E27FC236}">
              <a16:creationId xmlns:a16="http://schemas.microsoft.com/office/drawing/2014/main" id="{1C34E873-0CE5-4D18-BB84-5D57137F5683}"/>
            </a:ext>
          </a:extLst>
        </xdr:cNvPr>
        <xdr:cNvSpPr/>
      </xdr:nvSpPr>
      <xdr:spPr>
        <a:xfrm>
          <a:off x="8854440" y="100895152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493</xdr:row>
      <xdr:rowOff>21973</xdr:rowOff>
    </xdr:from>
    <xdr:ext cx="114300" cy="114300"/>
    <xdr:pic>
      <xdr:nvPicPr>
        <xdr:cNvPr id="984" name="image1.png">
          <a:extLst>
            <a:ext uri="{FF2B5EF4-FFF2-40B4-BE49-F238E27FC236}">
              <a16:creationId xmlns:a16="http://schemas.microsoft.com/office/drawing/2014/main" id="{9A24DE52-82A7-44AD-B0CE-D92CA0E28C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1108893"/>
          <a:ext cx="114300" cy="1143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496</xdr:row>
      <xdr:rowOff>260348</xdr:rowOff>
    </xdr:from>
    <xdr:ext cx="828675" cy="0"/>
    <xdr:sp macro="" textlink="">
      <xdr:nvSpPr>
        <xdr:cNvPr id="985" name="Shape 450">
          <a:extLst>
            <a:ext uri="{FF2B5EF4-FFF2-40B4-BE49-F238E27FC236}">
              <a16:creationId xmlns:a16="http://schemas.microsoft.com/office/drawing/2014/main" id="{C34EB7B0-4258-4C5D-83E5-6A809A04DCF3}"/>
            </a:ext>
          </a:extLst>
        </xdr:cNvPr>
        <xdr:cNvSpPr/>
      </xdr:nvSpPr>
      <xdr:spPr>
        <a:xfrm>
          <a:off x="551688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0</xdr:colOff>
      <xdr:row>496</xdr:row>
      <xdr:rowOff>260603</xdr:rowOff>
    </xdr:from>
    <xdr:ext cx="2141855" cy="0"/>
    <xdr:sp macro="" textlink="">
      <xdr:nvSpPr>
        <xdr:cNvPr id="986" name="Shape 451">
          <a:extLst>
            <a:ext uri="{FF2B5EF4-FFF2-40B4-BE49-F238E27FC236}">
              <a16:creationId xmlns:a16="http://schemas.microsoft.com/office/drawing/2014/main" id="{7B8CEE8C-86B6-454F-A0CB-773BF7257073}"/>
            </a:ext>
          </a:extLst>
        </xdr:cNvPr>
        <xdr:cNvSpPr/>
      </xdr:nvSpPr>
      <xdr:spPr>
        <a:xfrm>
          <a:off x="1645920" y="10169804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496</xdr:row>
      <xdr:rowOff>260348</xdr:rowOff>
    </xdr:from>
    <xdr:ext cx="828675" cy="0"/>
    <xdr:sp macro="" textlink="">
      <xdr:nvSpPr>
        <xdr:cNvPr id="987" name="Shape 452">
          <a:extLst>
            <a:ext uri="{FF2B5EF4-FFF2-40B4-BE49-F238E27FC236}">
              <a16:creationId xmlns:a16="http://schemas.microsoft.com/office/drawing/2014/main" id="{605BD4DE-B54C-45D4-BEE8-DB4729AD5523}"/>
            </a:ext>
          </a:extLst>
        </xdr:cNvPr>
        <xdr:cNvSpPr/>
      </xdr:nvSpPr>
      <xdr:spPr>
        <a:xfrm>
          <a:off x="550037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21</xdr:col>
      <xdr:colOff>0</xdr:colOff>
      <xdr:row>496</xdr:row>
      <xdr:rowOff>260348</xdr:rowOff>
    </xdr:from>
    <xdr:ext cx="828675" cy="0"/>
    <xdr:sp macro="" textlink="">
      <xdr:nvSpPr>
        <xdr:cNvPr id="988" name="Shape 453">
          <a:extLst>
            <a:ext uri="{FF2B5EF4-FFF2-40B4-BE49-F238E27FC236}">
              <a16:creationId xmlns:a16="http://schemas.microsoft.com/office/drawing/2014/main" id="{C35BE831-8645-4FB7-ACD9-8FB2DC9857F4}"/>
            </a:ext>
          </a:extLst>
        </xdr:cNvPr>
        <xdr:cNvSpPr/>
      </xdr:nvSpPr>
      <xdr:spPr>
        <a:xfrm>
          <a:off x="774192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12</xdr:col>
      <xdr:colOff>63</xdr:colOff>
      <xdr:row>496</xdr:row>
      <xdr:rowOff>260348</xdr:rowOff>
    </xdr:from>
    <xdr:ext cx="828675" cy="0"/>
    <xdr:sp macro="" textlink="">
      <xdr:nvSpPr>
        <xdr:cNvPr id="989" name="Shape 454">
          <a:extLst>
            <a:ext uri="{FF2B5EF4-FFF2-40B4-BE49-F238E27FC236}">
              <a16:creationId xmlns:a16="http://schemas.microsoft.com/office/drawing/2014/main" id="{3824EF52-BEAC-420E-A5FA-C4B09DCEFF80}"/>
            </a:ext>
          </a:extLst>
        </xdr:cNvPr>
        <xdr:cNvSpPr/>
      </xdr:nvSpPr>
      <xdr:spPr>
        <a:xfrm>
          <a:off x="4419663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19</xdr:col>
      <xdr:colOff>0</xdr:colOff>
      <xdr:row>496</xdr:row>
      <xdr:rowOff>260348</xdr:rowOff>
    </xdr:from>
    <xdr:ext cx="828675" cy="0"/>
    <xdr:sp macro="" textlink="">
      <xdr:nvSpPr>
        <xdr:cNvPr id="990" name="Shape 455">
          <a:extLst>
            <a:ext uri="{FF2B5EF4-FFF2-40B4-BE49-F238E27FC236}">
              <a16:creationId xmlns:a16="http://schemas.microsoft.com/office/drawing/2014/main" id="{93FEF827-F966-4A04-9DE6-3C318D193DF3}"/>
            </a:ext>
          </a:extLst>
        </xdr:cNvPr>
        <xdr:cNvSpPr/>
      </xdr:nvSpPr>
      <xdr:spPr>
        <a:xfrm>
          <a:off x="6629400" y="101697788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496</xdr:row>
      <xdr:rowOff>260348</xdr:rowOff>
    </xdr:from>
    <xdr:ext cx="371475" cy="0"/>
    <xdr:sp macro="" textlink="">
      <xdr:nvSpPr>
        <xdr:cNvPr id="991" name="Shape 456">
          <a:extLst>
            <a:ext uri="{FF2B5EF4-FFF2-40B4-BE49-F238E27FC236}">
              <a16:creationId xmlns:a16="http://schemas.microsoft.com/office/drawing/2014/main" id="{7A9A4406-5A33-4E02-9E1B-5B4276421807}"/>
            </a:ext>
          </a:extLst>
        </xdr:cNvPr>
        <xdr:cNvSpPr/>
      </xdr:nvSpPr>
      <xdr:spPr>
        <a:xfrm>
          <a:off x="8854440" y="101697788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497</xdr:row>
      <xdr:rowOff>21969</xdr:rowOff>
    </xdr:from>
    <xdr:ext cx="114300" cy="114300"/>
    <xdr:pic>
      <xdr:nvPicPr>
        <xdr:cNvPr id="992" name="image1.png">
          <a:extLst>
            <a:ext uri="{FF2B5EF4-FFF2-40B4-BE49-F238E27FC236}">
              <a16:creationId xmlns:a16="http://schemas.microsoft.com/office/drawing/2014/main" id="{0EC741FE-C26D-427E-8121-A60624AE5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190898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500</xdr:row>
      <xdr:rowOff>253</xdr:rowOff>
    </xdr:from>
    <xdr:ext cx="2141855" cy="0"/>
    <xdr:sp macro="" textlink="">
      <xdr:nvSpPr>
        <xdr:cNvPr id="993" name="Shape 458">
          <a:extLst>
            <a:ext uri="{FF2B5EF4-FFF2-40B4-BE49-F238E27FC236}">
              <a16:creationId xmlns:a16="http://schemas.microsoft.com/office/drawing/2014/main" id="{4E2A6868-8400-4737-A0BC-0D317F9D3F53}"/>
            </a:ext>
          </a:extLst>
        </xdr:cNvPr>
        <xdr:cNvSpPr/>
      </xdr:nvSpPr>
      <xdr:spPr>
        <a:xfrm>
          <a:off x="1668834" y="10258069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500</xdr:row>
      <xdr:rowOff>-1</xdr:rowOff>
    </xdr:from>
    <xdr:ext cx="828675" cy="0"/>
    <xdr:sp macro="" textlink="">
      <xdr:nvSpPr>
        <xdr:cNvPr id="994" name="Shape 459">
          <a:extLst>
            <a:ext uri="{FF2B5EF4-FFF2-40B4-BE49-F238E27FC236}">
              <a16:creationId xmlns:a16="http://schemas.microsoft.com/office/drawing/2014/main" id="{1451A2A8-19C1-4A17-A484-77C193AC37AC}"/>
            </a:ext>
          </a:extLst>
        </xdr:cNvPr>
        <xdr:cNvSpPr/>
      </xdr:nvSpPr>
      <xdr:spPr>
        <a:xfrm>
          <a:off x="489305" y="102580439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500</xdr:row>
      <xdr:rowOff>-1</xdr:rowOff>
    </xdr:from>
    <xdr:ext cx="371475" cy="0"/>
    <xdr:sp macro="" textlink="">
      <xdr:nvSpPr>
        <xdr:cNvPr id="995" name="Shape 460">
          <a:extLst>
            <a:ext uri="{FF2B5EF4-FFF2-40B4-BE49-F238E27FC236}">
              <a16:creationId xmlns:a16="http://schemas.microsoft.com/office/drawing/2014/main" id="{03042108-3878-4428-A26D-A96F1FC67ABF}"/>
            </a:ext>
          </a:extLst>
        </xdr:cNvPr>
        <xdr:cNvSpPr/>
      </xdr:nvSpPr>
      <xdr:spPr>
        <a:xfrm>
          <a:off x="8854440" y="102580439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501</xdr:row>
      <xdr:rowOff>15619</xdr:rowOff>
    </xdr:from>
    <xdr:ext cx="114300" cy="114300"/>
    <xdr:pic>
      <xdr:nvPicPr>
        <xdr:cNvPr id="996" name="image1.png">
          <a:extLst>
            <a:ext uri="{FF2B5EF4-FFF2-40B4-BE49-F238E27FC236}">
              <a16:creationId xmlns:a16="http://schemas.microsoft.com/office/drawing/2014/main" id="{B0E79B31-5F4D-4C30-BE55-AA86B0EE8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279417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504</xdr:row>
      <xdr:rowOff>6603</xdr:rowOff>
    </xdr:from>
    <xdr:ext cx="2141855" cy="0"/>
    <xdr:sp macro="" textlink="">
      <xdr:nvSpPr>
        <xdr:cNvPr id="997" name="Shape 462">
          <a:extLst>
            <a:ext uri="{FF2B5EF4-FFF2-40B4-BE49-F238E27FC236}">
              <a16:creationId xmlns:a16="http://schemas.microsoft.com/office/drawing/2014/main" id="{B689995A-9A93-4AF9-9412-1307C8F2E39C}"/>
            </a:ext>
          </a:extLst>
        </xdr:cNvPr>
        <xdr:cNvSpPr/>
      </xdr:nvSpPr>
      <xdr:spPr>
        <a:xfrm>
          <a:off x="1650745" y="10346334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504</xdr:row>
      <xdr:rowOff>6354</xdr:rowOff>
    </xdr:from>
    <xdr:ext cx="828675" cy="0"/>
    <xdr:sp macro="" textlink="">
      <xdr:nvSpPr>
        <xdr:cNvPr id="998" name="Shape 463">
          <a:extLst>
            <a:ext uri="{FF2B5EF4-FFF2-40B4-BE49-F238E27FC236}">
              <a16:creationId xmlns:a16="http://schemas.microsoft.com/office/drawing/2014/main" id="{C782A051-4BF7-4C2C-A308-66A5074A0B90}"/>
            </a:ext>
          </a:extLst>
        </xdr:cNvPr>
        <xdr:cNvSpPr/>
      </xdr:nvSpPr>
      <xdr:spPr>
        <a:xfrm>
          <a:off x="550037" y="10346309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504</xdr:row>
      <xdr:rowOff>6354</xdr:rowOff>
    </xdr:from>
    <xdr:ext cx="371475" cy="0"/>
    <xdr:sp macro="" textlink="">
      <xdr:nvSpPr>
        <xdr:cNvPr id="999" name="Shape 464">
          <a:extLst>
            <a:ext uri="{FF2B5EF4-FFF2-40B4-BE49-F238E27FC236}">
              <a16:creationId xmlns:a16="http://schemas.microsoft.com/office/drawing/2014/main" id="{59A6CD06-5F7A-4ED5-9594-8C38184B910D}"/>
            </a:ext>
          </a:extLst>
        </xdr:cNvPr>
        <xdr:cNvSpPr/>
      </xdr:nvSpPr>
      <xdr:spPr>
        <a:xfrm>
          <a:off x="8854440" y="10346309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505</xdr:row>
      <xdr:rowOff>21969</xdr:rowOff>
    </xdr:from>
    <xdr:ext cx="114300" cy="114300"/>
    <xdr:pic>
      <xdr:nvPicPr>
        <xdr:cNvPr id="1000" name="image1.png">
          <a:extLst>
            <a:ext uri="{FF2B5EF4-FFF2-40B4-BE49-F238E27FC236}">
              <a16:creationId xmlns:a16="http://schemas.microsoft.com/office/drawing/2014/main" id="{84497F0B-BDC2-43A6-89AD-B4AAAF7D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367682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508</xdr:row>
      <xdr:rowOff>253</xdr:rowOff>
    </xdr:from>
    <xdr:ext cx="2141855" cy="0"/>
    <xdr:sp macro="" textlink="">
      <xdr:nvSpPr>
        <xdr:cNvPr id="1001" name="Shape 466">
          <a:extLst>
            <a:ext uri="{FF2B5EF4-FFF2-40B4-BE49-F238E27FC236}">
              <a16:creationId xmlns:a16="http://schemas.microsoft.com/office/drawing/2014/main" id="{A39AF81E-3AFA-4539-AE48-364D65FBAFEC}"/>
            </a:ext>
          </a:extLst>
        </xdr:cNvPr>
        <xdr:cNvSpPr/>
      </xdr:nvSpPr>
      <xdr:spPr>
        <a:xfrm>
          <a:off x="1650745" y="10434853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508</xdr:row>
      <xdr:rowOff>4</xdr:rowOff>
    </xdr:from>
    <xdr:ext cx="828675" cy="0"/>
    <xdr:sp macro="" textlink="">
      <xdr:nvSpPr>
        <xdr:cNvPr id="1002" name="Shape 467">
          <a:extLst>
            <a:ext uri="{FF2B5EF4-FFF2-40B4-BE49-F238E27FC236}">
              <a16:creationId xmlns:a16="http://schemas.microsoft.com/office/drawing/2014/main" id="{62DE31B9-65D2-4164-938E-A86E0EB47765}"/>
            </a:ext>
          </a:extLst>
        </xdr:cNvPr>
        <xdr:cNvSpPr/>
      </xdr:nvSpPr>
      <xdr:spPr>
        <a:xfrm>
          <a:off x="550037" y="10434828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508</xdr:row>
      <xdr:rowOff>4</xdr:rowOff>
    </xdr:from>
    <xdr:ext cx="371475" cy="0"/>
    <xdr:sp macro="" textlink="">
      <xdr:nvSpPr>
        <xdr:cNvPr id="1003" name="Shape 468">
          <a:extLst>
            <a:ext uri="{FF2B5EF4-FFF2-40B4-BE49-F238E27FC236}">
              <a16:creationId xmlns:a16="http://schemas.microsoft.com/office/drawing/2014/main" id="{49D9EC06-B5CF-4D5A-B861-405E95C4CF93}"/>
            </a:ext>
          </a:extLst>
        </xdr:cNvPr>
        <xdr:cNvSpPr/>
      </xdr:nvSpPr>
      <xdr:spPr>
        <a:xfrm>
          <a:off x="8854440" y="10434828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509</xdr:row>
      <xdr:rowOff>15619</xdr:rowOff>
    </xdr:from>
    <xdr:ext cx="114300" cy="114300"/>
    <xdr:pic>
      <xdr:nvPicPr>
        <xdr:cNvPr id="1004" name="image1.png">
          <a:extLst>
            <a:ext uri="{FF2B5EF4-FFF2-40B4-BE49-F238E27FC236}">
              <a16:creationId xmlns:a16="http://schemas.microsoft.com/office/drawing/2014/main" id="{8602EE44-0F2D-4D09-A393-4ABAFD27A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456201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512</xdr:row>
      <xdr:rowOff>6603</xdr:rowOff>
    </xdr:from>
    <xdr:ext cx="2141855" cy="0"/>
    <xdr:sp macro="" textlink="">
      <xdr:nvSpPr>
        <xdr:cNvPr id="1005" name="Shape 470">
          <a:extLst>
            <a:ext uri="{FF2B5EF4-FFF2-40B4-BE49-F238E27FC236}">
              <a16:creationId xmlns:a16="http://schemas.microsoft.com/office/drawing/2014/main" id="{EA7DBDF6-92F0-431E-A9C8-8F56AB7E18E3}"/>
            </a:ext>
          </a:extLst>
        </xdr:cNvPr>
        <xdr:cNvSpPr/>
      </xdr:nvSpPr>
      <xdr:spPr>
        <a:xfrm>
          <a:off x="1650745" y="10523118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512</xdr:row>
      <xdr:rowOff>6354</xdr:rowOff>
    </xdr:from>
    <xdr:ext cx="828675" cy="0"/>
    <xdr:sp macro="" textlink="">
      <xdr:nvSpPr>
        <xdr:cNvPr id="1006" name="Shape 471">
          <a:extLst>
            <a:ext uri="{FF2B5EF4-FFF2-40B4-BE49-F238E27FC236}">
              <a16:creationId xmlns:a16="http://schemas.microsoft.com/office/drawing/2014/main" id="{51B86FC9-C9C0-4F10-A611-FFF60BA801F8}"/>
            </a:ext>
          </a:extLst>
        </xdr:cNvPr>
        <xdr:cNvSpPr/>
      </xdr:nvSpPr>
      <xdr:spPr>
        <a:xfrm>
          <a:off x="550037" y="10523093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512</xdr:row>
      <xdr:rowOff>6354</xdr:rowOff>
    </xdr:from>
    <xdr:ext cx="371475" cy="0"/>
    <xdr:sp macro="" textlink="">
      <xdr:nvSpPr>
        <xdr:cNvPr id="1007" name="Shape 472">
          <a:extLst>
            <a:ext uri="{FF2B5EF4-FFF2-40B4-BE49-F238E27FC236}">
              <a16:creationId xmlns:a16="http://schemas.microsoft.com/office/drawing/2014/main" id="{AB3CDDA2-0D77-421A-8288-5B2B774ED211}"/>
            </a:ext>
          </a:extLst>
        </xdr:cNvPr>
        <xdr:cNvSpPr/>
      </xdr:nvSpPr>
      <xdr:spPr>
        <a:xfrm>
          <a:off x="8854440" y="10523093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513</xdr:row>
      <xdr:rowOff>21969</xdr:rowOff>
    </xdr:from>
    <xdr:ext cx="114300" cy="114300"/>
    <xdr:pic>
      <xdr:nvPicPr>
        <xdr:cNvPr id="1008" name="image1.png">
          <a:extLst>
            <a:ext uri="{FF2B5EF4-FFF2-40B4-BE49-F238E27FC236}">
              <a16:creationId xmlns:a16="http://schemas.microsoft.com/office/drawing/2014/main" id="{9E0EC932-12F2-43BA-B987-6470705B9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544466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516</xdr:row>
      <xdr:rowOff>253</xdr:rowOff>
    </xdr:from>
    <xdr:ext cx="2141855" cy="0"/>
    <xdr:sp macro="" textlink="">
      <xdr:nvSpPr>
        <xdr:cNvPr id="1009" name="Shape 474">
          <a:extLst>
            <a:ext uri="{FF2B5EF4-FFF2-40B4-BE49-F238E27FC236}">
              <a16:creationId xmlns:a16="http://schemas.microsoft.com/office/drawing/2014/main" id="{49A86785-3A71-4B01-93C4-D5F02EBE6521}"/>
            </a:ext>
          </a:extLst>
        </xdr:cNvPr>
        <xdr:cNvSpPr/>
      </xdr:nvSpPr>
      <xdr:spPr>
        <a:xfrm>
          <a:off x="1650745" y="10611637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516</xdr:row>
      <xdr:rowOff>4</xdr:rowOff>
    </xdr:from>
    <xdr:ext cx="828675" cy="0"/>
    <xdr:sp macro="" textlink="">
      <xdr:nvSpPr>
        <xdr:cNvPr id="1010" name="Shape 475">
          <a:extLst>
            <a:ext uri="{FF2B5EF4-FFF2-40B4-BE49-F238E27FC236}">
              <a16:creationId xmlns:a16="http://schemas.microsoft.com/office/drawing/2014/main" id="{1B341678-7502-49D2-8C30-32033062ADC2}"/>
            </a:ext>
          </a:extLst>
        </xdr:cNvPr>
        <xdr:cNvSpPr/>
      </xdr:nvSpPr>
      <xdr:spPr>
        <a:xfrm>
          <a:off x="550037" y="10611612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516</xdr:row>
      <xdr:rowOff>4</xdr:rowOff>
    </xdr:from>
    <xdr:ext cx="371475" cy="0"/>
    <xdr:sp macro="" textlink="">
      <xdr:nvSpPr>
        <xdr:cNvPr id="1011" name="Shape 476">
          <a:extLst>
            <a:ext uri="{FF2B5EF4-FFF2-40B4-BE49-F238E27FC236}">
              <a16:creationId xmlns:a16="http://schemas.microsoft.com/office/drawing/2014/main" id="{28EC946A-972A-4688-BA55-0AA7237D449A}"/>
            </a:ext>
          </a:extLst>
        </xdr:cNvPr>
        <xdr:cNvSpPr/>
      </xdr:nvSpPr>
      <xdr:spPr>
        <a:xfrm>
          <a:off x="8854440" y="10611612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517</xdr:row>
      <xdr:rowOff>15619</xdr:rowOff>
    </xdr:from>
    <xdr:ext cx="114300" cy="114300"/>
    <xdr:pic>
      <xdr:nvPicPr>
        <xdr:cNvPr id="1012" name="image1.png">
          <a:extLst>
            <a:ext uri="{FF2B5EF4-FFF2-40B4-BE49-F238E27FC236}">
              <a16:creationId xmlns:a16="http://schemas.microsoft.com/office/drawing/2014/main" id="{9148F3DB-D8C9-4EE6-9EA0-8FC8CF3A4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632985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4825</xdr:colOff>
      <xdr:row>520</xdr:row>
      <xdr:rowOff>6603</xdr:rowOff>
    </xdr:from>
    <xdr:ext cx="2141855" cy="0"/>
    <xdr:sp macro="" textlink="">
      <xdr:nvSpPr>
        <xdr:cNvPr id="1013" name="Shape 478">
          <a:extLst>
            <a:ext uri="{FF2B5EF4-FFF2-40B4-BE49-F238E27FC236}">
              <a16:creationId xmlns:a16="http://schemas.microsoft.com/office/drawing/2014/main" id="{629D1178-D258-4E11-A38E-C493EF759961}"/>
            </a:ext>
          </a:extLst>
        </xdr:cNvPr>
        <xdr:cNvSpPr/>
      </xdr:nvSpPr>
      <xdr:spPr>
        <a:xfrm>
          <a:off x="1650745" y="10699902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520</xdr:row>
      <xdr:rowOff>6354</xdr:rowOff>
    </xdr:from>
    <xdr:ext cx="828675" cy="0"/>
    <xdr:sp macro="" textlink="">
      <xdr:nvSpPr>
        <xdr:cNvPr id="1014" name="Shape 479">
          <a:extLst>
            <a:ext uri="{FF2B5EF4-FFF2-40B4-BE49-F238E27FC236}">
              <a16:creationId xmlns:a16="http://schemas.microsoft.com/office/drawing/2014/main" id="{A8864BC6-6A0A-4EEE-B3D0-3FBF9DD85E61}"/>
            </a:ext>
          </a:extLst>
        </xdr:cNvPr>
        <xdr:cNvSpPr/>
      </xdr:nvSpPr>
      <xdr:spPr>
        <a:xfrm>
          <a:off x="550037" y="10699877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520</xdr:row>
      <xdr:rowOff>6354</xdr:rowOff>
    </xdr:from>
    <xdr:ext cx="371475" cy="0"/>
    <xdr:sp macro="" textlink="">
      <xdr:nvSpPr>
        <xdr:cNvPr id="1015" name="Shape 480">
          <a:extLst>
            <a:ext uri="{FF2B5EF4-FFF2-40B4-BE49-F238E27FC236}">
              <a16:creationId xmlns:a16="http://schemas.microsoft.com/office/drawing/2014/main" id="{0ED9AC18-E5F3-444A-A676-227F3F44D2C5}"/>
            </a:ext>
          </a:extLst>
        </xdr:cNvPr>
        <xdr:cNvSpPr/>
      </xdr:nvSpPr>
      <xdr:spPr>
        <a:xfrm>
          <a:off x="8854440" y="10699877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125603</xdr:colOff>
      <xdr:row>521</xdr:row>
      <xdr:rowOff>21969</xdr:rowOff>
    </xdr:from>
    <xdr:ext cx="114300" cy="114300"/>
    <xdr:pic>
      <xdr:nvPicPr>
        <xdr:cNvPr id="1016" name="image1.png">
          <a:extLst>
            <a:ext uri="{FF2B5EF4-FFF2-40B4-BE49-F238E27FC236}">
              <a16:creationId xmlns:a16="http://schemas.microsoft.com/office/drawing/2014/main" id="{236D0ABB-10A0-49F4-B461-6F413538F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80043" y="107212509"/>
          <a:ext cx="114300" cy="114300"/>
        </a:xfrm>
        <a:prstGeom prst="rect">
          <a:avLst/>
        </a:prstGeom>
      </xdr:spPr>
    </xdr:pic>
    <xdr:clientData/>
  </xdr:oneCellAnchor>
  <xdr:oneCellAnchor>
    <xdr:from>
      <xdr:col>8</xdr:col>
      <xdr:colOff>22914</xdr:colOff>
      <xdr:row>524</xdr:row>
      <xdr:rowOff>253</xdr:rowOff>
    </xdr:from>
    <xdr:ext cx="2141855" cy="0"/>
    <xdr:sp macro="" textlink="">
      <xdr:nvSpPr>
        <xdr:cNvPr id="1017" name="Shape 482">
          <a:extLst>
            <a:ext uri="{FF2B5EF4-FFF2-40B4-BE49-F238E27FC236}">
              <a16:creationId xmlns:a16="http://schemas.microsoft.com/office/drawing/2014/main" id="{5DF05DB8-A57B-4BD2-BA15-02394FFAE83B}"/>
            </a:ext>
          </a:extLst>
        </xdr:cNvPr>
        <xdr:cNvSpPr/>
      </xdr:nvSpPr>
      <xdr:spPr>
        <a:xfrm>
          <a:off x="1668834" y="10788421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</xdr:col>
      <xdr:colOff>169265</xdr:colOff>
      <xdr:row>524</xdr:row>
      <xdr:rowOff>4</xdr:rowOff>
    </xdr:from>
    <xdr:ext cx="828675" cy="0"/>
    <xdr:sp macro="" textlink="">
      <xdr:nvSpPr>
        <xdr:cNvPr id="1018" name="Shape 483">
          <a:extLst>
            <a:ext uri="{FF2B5EF4-FFF2-40B4-BE49-F238E27FC236}">
              <a16:creationId xmlns:a16="http://schemas.microsoft.com/office/drawing/2014/main" id="{6AEA6976-686D-45C4-928C-A074C9321034}"/>
            </a:ext>
          </a:extLst>
        </xdr:cNvPr>
        <xdr:cNvSpPr/>
      </xdr:nvSpPr>
      <xdr:spPr>
        <a:xfrm>
          <a:off x="489305" y="10788396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524</xdr:row>
      <xdr:rowOff>4</xdr:rowOff>
    </xdr:from>
    <xdr:ext cx="371475" cy="0"/>
    <xdr:sp macro="" textlink="">
      <xdr:nvSpPr>
        <xdr:cNvPr id="1019" name="Shape 484">
          <a:extLst>
            <a:ext uri="{FF2B5EF4-FFF2-40B4-BE49-F238E27FC236}">
              <a16:creationId xmlns:a16="http://schemas.microsoft.com/office/drawing/2014/main" id="{8C174173-E140-49AD-8F65-CE9A77BD1163}"/>
            </a:ext>
          </a:extLst>
        </xdr:cNvPr>
        <xdr:cNvSpPr/>
      </xdr:nvSpPr>
      <xdr:spPr>
        <a:xfrm>
          <a:off x="8854440" y="10788396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8</xdr:col>
      <xdr:colOff>4825</xdr:colOff>
      <xdr:row>528</xdr:row>
      <xdr:rowOff>6603</xdr:rowOff>
    </xdr:from>
    <xdr:ext cx="2141855" cy="0"/>
    <xdr:sp macro="" textlink="">
      <xdr:nvSpPr>
        <xdr:cNvPr id="1020" name="Shape 485">
          <a:extLst>
            <a:ext uri="{FF2B5EF4-FFF2-40B4-BE49-F238E27FC236}">
              <a16:creationId xmlns:a16="http://schemas.microsoft.com/office/drawing/2014/main" id="{16617D3E-1B41-4B80-9CD2-B3AE48857380}"/>
            </a:ext>
          </a:extLst>
        </xdr:cNvPr>
        <xdr:cNvSpPr/>
      </xdr:nvSpPr>
      <xdr:spPr>
        <a:xfrm>
          <a:off x="1650745" y="108766863"/>
          <a:ext cx="2141855" cy="0"/>
        </a:xfrm>
        <a:custGeom>
          <a:avLst/>
          <a:gdLst/>
          <a:ahLst/>
          <a:cxnLst/>
          <a:rect l="0" t="0" r="0" b="0"/>
          <a:pathLst>
            <a:path w="2141855">
              <a:moveTo>
                <a:pt x="0" y="0"/>
              </a:moveTo>
              <a:lnTo>
                <a:pt x="2141601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</xdr:col>
      <xdr:colOff>1397</xdr:colOff>
      <xdr:row>528</xdr:row>
      <xdr:rowOff>6354</xdr:rowOff>
    </xdr:from>
    <xdr:ext cx="828675" cy="0"/>
    <xdr:sp macro="" textlink="">
      <xdr:nvSpPr>
        <xdr:cNvPr id="1021" name="Shape 486">
          <a:extLst>
            <a:ext uri="{FF2B5EF4-FFF2-40B4-BE49-F238E27FC236}">
              <a16:creationId xmlns:a16="http://schemas.microsoft.com/office/drawing/2014/main" id="{9D3A43EF-A11C-4503-B7EE-BFDC59F10C78}"/>
            </a:ext>
          </a:extLst>
        </xdr:cNvPr>
        <xdr:cNvSpPr/>
      </xdr:nvSpPr>
      <xdr:spPr>
        <a:xfrm>
          <a:off x="550037" y="108766614"/>
          <a:ext cx="828675" cy="0"/>
        </a:xfrm>
        <a:custGeom>
          <a:avLst/>
          <a:gdLst/>
          <a:ahLst/>
          <a:cxnLst/>
          <a:rect l="0" t="0" r="0" b="0"/>
          <a:pathLst>
            <a:path w="828675">
              <a:moveTo>
                <a:pt x="0" y="0"/>
              </a:moveTo>
              <a:lnTo>
                <a:pt x="8286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24</xdr:col>
      <xdr:colOff>0</xdr:colOff>
      <xdr:row>528</xdr:row>
      <xdr:rowOff>6354</xdr:rowOff>
    </xdr:from>
    <xdr:ext cx="371475" cy="0"/>
    <xdr:sp macro="" textlink="">
      <xdr:nvSpPr>
        <xdr:cNvPr id="1022" name="Shape 487">
          <a:extLst>
            <a:ext uri="{FF2B5EF4-FFF2-40B4-BE49-F238E27FC236}">
              <a16:creationId xmlns:a16="http://schemas.microsoft.com/office/drawing/2014/main" id="{F0189CA0-8AAB-4609-9D2F-A41514579C00}"/>
            </a:ext>
          </a:extLst>
        </xdr:cNvPr>
        <xdr:cNvSpPr/>
      </xdr:nvSpPr>
      <xdr:spPr>
        <a:xfrm>
          <a:off x="8854440" y="108766614"/>
          <a:ext cx="371475" cy="0"/>
        </a:xfrm>
        <a:custGeom>
          <a:avLst/>
          <a:gdLst/>
          <a:ahLst/>
          <a:cxnLst/>
          <a:rect l="0" t="0" r="0" b="0"/>
          <a:pathLst>
            <a:path w="371475">
              <a:moveTo>
                <a:pt x="0" y="0"/>
              </a:moveTo>
              <a:lnTo>
                <a:pt x="371475" y="0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  <xdr:oneCellAnchor>
    <xdr:from>
      <xdr:col>11</xdr:col>
      <xdr:colOff>50736</xdr:colOff>
      <xdr:row>530</xdr:row>
      <xdr:rowOff>142743</xdr:rowOff>
    </xdr:from>
    <xdr:ext cx="3531235" cy="13335"/>
    <xdr:sp macro="" textlink="">
      <xdr:nvSpPr>
        <xdr:cNvPr id="1023" name="Shape 488">
          <a:extLst>
            <a:ext uri="{FF2B5EF4-FFF2-40B4-BE49-F238E27FC236}">
              <a16:creationId xmlns:a16="http://schemas.microsoft.com/office/drawing/2014/main" id="{0E752B2D-EC1D-4912-AB15-5D2ABCC4D1AA}"/>
            </a:ext>
          </a:extLst>
        </xdr:cNvPr>
        <xdr:cNvSpPr/>
      </xdr:nvSpPr>
      <xdr:spPr>
        <a:xfrm>
          <a:off x="4394136" y="109375443"/>
          <a:ext cx="3531235" cy="13335"/>
        </a:xfrm>
        <a:custGeom>
          <a:avLst/>
          <a:gdLst/>
          <a:ahLst/>
          <a:cxnLst/>
          <a:rect l="0" t="0" r="0" b="0"/>
          <a:pathLst>
            <a:path w="3531235" h="13335">
              <a:moveTo>
                <a:pt x="2677160" y="12699"/>
              </a:moveTo>
              <a:lnTo>
                <a:pt x="3531235" y="12699"/>
              </a:lnTo>
            </a:path>
            <a:path w="3531235" h="13335">
              <a:moveTo>
                <a:pt x="1784223" y="12953"/>
              </a:moveTo>
              <a:lnTo>
                <a:pt x="2638298" y="12953"/>
              </a:lnTo>
            </a:path>
            <a:path w="3531235" h="13335">
              <a:moveTo>
                <a:pt x="12700" y="0"/>
              </a:moveTo>
              <a:lnTo>
                <a:pt x="841375" y="0"/>
              </a:lnTo>
            </a:path>
            <a:path w="3531235" h="13335">
              <a:moveTo>
                <a:pt x="0" y="12699"/>
              </a:moveTo>
              <a:lnTo>
                <a:pt x="854075" y="12699"/>
              </a:lnTo>
            </a:path>
            <a:path w="3531235" h="13335">
              <a:moveTo>
                <a:pt x="893571" y="12953"/>
              </a:moveTo>
              <a:lnTo>
                <a:pt x="1747646" y="12953"/>
              </a:lnTo>
            </a:path>
          </a:pathLst>
        </a:custGeom>
        <a:ln w="6350">
          <a:solidFill>
            <a:srgbClr val="7F7F7F"/>
          </a:solidFill>
        </a:ln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198120</xdr:colOff>
          <xdr:row>0</xdr:row>
          <xdr:rowOff>114300</xdr:rowOff>
        </xdr:from>
        <xdr:to>
          <xdr:col>0</xdr:col>
          <xdr:colOff>1615440</xdr:colOff>
          <xdr:row>0</xdr:row>
          <xdr:rowOff>548640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08FFB-ACE6-4100-8293-C17CA12E2EFA}">
  <sheetPr codeName="Sheet1"/>
  <dimension ref="A1:K100"/>
  <sheetViews>
    <sheetView zoomScale="80" zoomScaleNormal="80" workbookViewId="0">
      <selection activeCell="A26" sqref="A26"/>
    </sheetView>
  </sheetViews>
  <sheetFormatPr defaultRowHeight="14.4" x14ac:dyDescent="0.3"/>
  <cols>
    <col min="1" max="1" width="36.33203125" bestFit="1" customWidth="1"/>
    <col min="2" max="2" width="26.44140625" bestFit="1" customWidth="1"/>
    <col min="3" max="3" width="26.44140625" customWidth="1"/>
    <col min="4" max="4" width="20.88671875" bestFit="1" customWidth="1"/>
    <col min="6" max="6" width="26.33203125" bestFit="1" customWidth="1"/>
    <col min="7" max="7" width="12.6640625" bestFit="1" customWidth="1"/>
    <col min="8" max="8" width="8.44140625" bestFit="1" customWidth="1"/>
    <col min="9" max="9" width="14.33203125" bestFit="1" customWidth="1"/>
    <col min="10" max="10" width="21.33203125" bestFit="1" customWidth="1"/>
    <col min="11" max="11" width="21.5546875" bestFit="1" customWidth="1"/>
  </cols>
  <sheetData>
    <row r="1" spans="1:11" s="1" customFormat="1" x14ac:dyDescent="0.3">
      <c r="A1" s="1" t="s">
        <v>117</v>
      </c>
      <c r="B1" s="1" t="s">
        <v>265</v>
      </c>
      <c r="F1" t="s">
        <v>266</v>
      </c>
      <c r="G1" t="s">
        <v>267</v>
      </c>
      <c r="H1" t="s">
        <v>138</v>
      </c>
      <c r="I1" t="s">
        <v>139</v>
      </c>
      <c r="J1" s="1" t="s">
        <v>265</v>
      </c>
    </row>
    <row r="2" spans="1:11" x14ac:dyDescent="0.3">
      <c r="A2" t="s">
        <v>232</v>
      </c>
      <c r="B2" s="6">
        <v>82356920007723</v>
      </c>
      <c r="C2" s="6" t="str">
        <f>VLOOKUP(A2,F:J,5,FALSE)</f>
        <v>082356920007723</v>
      </c>
      <c r="D2" s="6">
        <f>B2-C2</f>
        <v>0</v>
      </c>
      <c r="F2" t="s">
        <v>232</v>
      </c>
      <c r="G2">
        <v>7643.84</v>
      </c>
      <c r="H2" t="s">
        <v>233</v>
      </c>
      <c r="I2" t="s">
        <v>234</v>
      </c>
      <c r="J2" t="s">
        <v>274</v>
      </c>
      <c r="K2" s="5">
        <f t="shared" ref="K2:K24" si="0">B2-J2</f>
        <v>0</v>
      </c>
    </row>
    <row r="3" spans="1:11" x14ac:dyDescent="0.3">
      <c r="A3" t="s">
        <v>40</v>
      </c>
      <c r="B3" s="5">
        <v>182512966442675</v>
      </c>
      <c r="C3" s="6" t="str">
        <f t="shared" ref="C3:C24" si="1">VLOOKUP(A3,F:J,5,FALSE)</f>
        <v>182512966442675</v>
      </c>
      <c r="D3" s="6">
        <f t="shared" ref="D3:D24" si="2">B3-C3</f>
        <v>0</v>
      </c>
      <c r="F3" t="s">
        <v>40</v>
      </c>
      <c r="G3">
        <v>1232.8800000000001</v>
      </c>
      <c r="H3" t="s">
        <v>144</v>
      </c>
      <c r="I3" t="s">
        <v>200</v>
      </c>
      <c r="J3" t="s">
        <v>275</v>
      </c>
      <c r="K3" s="5">
        <f t="shared" si="0"/>
        <v>0</v>
      </c>
    </row>
    <row r="4" spans="1:11" x14ac:dyDescent="0.3">
      <c r="A4" t="s">
        <v>30</v>
      </c>
      <c r="B4" s="5">
        <v>82067667632700</v>
      </c>
      <c r="C4" s="6" t="str">
        <f t="shared" si="1"/>
        <v>082067667632700</v>
      </c>
      <c r="D4" s="6">
        <f t="shared" si="2"/>
        <v>0</v>
      </c>
      <c r="F4" t="s">
        <v>30</v>
      </c>
      <c r="G4">
        <v>3287.67</v>
      </c>
      <c r="H4" t="s">
        <v>183</v>
      </c>
      <c r="I4" t="s">
        <v>184</v>
      </c>
      <c r="J4" t="s">
        <v>276</v>
      </c>
      <c r="K4" s="5">
        <f t="shared" si="0"/>
        <v>0</v>
      </c>
    </row>
    <row r="5" spans="1:11" x14ac:dyDescent="0.3">
      <c r="A5" t="s">
        <v>220</v>
      </c>
      <c r="B5" s="5">
        <v>182222121972640</v>
      </c>
      <c r="C5" s="6" t="str">
        <f t="shared" si="1"/>
        <v>182222121972640</v>
      </c>
      <c r="D5" s="6">
        <f t="shared" si="2"/>
        <v>0</v>
      </c>
      <c r="F5" t="s">
        <v>220</v>
      </c>
      <c r="G5">
        <v>3287.67</v>
      </c>
      <c r="H5" t="s">
        <v>153</v>
      </c>
      <c r="I5">
        <v>121972640</v>
      </c>
      <c r="J5" t="s">
        <v>277</v>
      </c>
      <c r="K5" s="5">
        <f t="shared" si="0"/>
        <v>0</v>
      </c>
    </row>
    <row r="6" spans="1:11" x14ac:dyDescent="0.3">
      <c r="A6" t="s">
        <v>102</v>
      </c>
      <c r="B6" s="5">
        <v>82001235768073</v>
      </c>
      <c r="C6" s="6" t="str">
        <f t="shared" si="1"/>
        <v>082001235768073</v>
      </c>
      <c r="D6" s="6">
        <f t="shared" si="2"/>
        <v>0</v>
      </c>
      <c r="F6" t="s">
        <v>102</v>
      </c>
      <c r="G6">
        <v>1643.84</v>
      </c>
      <c r="H6" t="s">
        <v>208</v>
      </c>
      <c r="I6" t="s">
        <v>209</v>
      </c>
      <c r="J6" t="s">
        <v>278</v>
      </c>
      <c r="K6" s="5">
        <f t="shared" si="0"/>
        <v>0</v>
      </c>
    </row>
    <row r="7" spans="1:11" x14ac:dyDescent="0.3">
      <c r="A7" s="2" t="s">
        <v>15</v>
      </c>
      <c r="B7" s="5">
        <v>83088359787970</v>
      </c>
      <c r="C7" s="6" t="e">
        <f t="shared" si="1"/>
        <v>#N/A</v>
      </c>
      <c r="D7" s="6" t="e">
        <f t="shared" si="2"/>
        <v>#N/A</v>
      </c>
      <c r="K7" s="5">
        <f t="shared" si="0"/>
        <v>83088359787970</v>
      </c>
    </row>
    <row r="8" spans="1:11" x14ac:dyDescent="0.3">
      <c r="A8" t="s">
        <v>95</v>
      </c>
      <c r="B8" s="5">
        <v>82080944770176</v>
      </c>
      <c r="C8" s="6" t="str">
        <f t="shared" si="1"/>
        <v>082080944770176</v>
      </c>
      <c r="D8" s="6">
        <f t="shared" si="2"/>
        <v>0</v>
      </c>
      <c r="F8" t="s">
        <v>95</v>
      </c>
      <c r="G8">
        <v>1972.6</v>
      </c>
      <c r="H8" t="s">
        <v>212</v>
      </c>
      <c r="I8" t="s">
        <v>213</v>
      </c>
      <c r="J8" t="s">
        <v>279</v>
      </c>
      <c r="K8" s="5">
        <f t="shared" si="0"/>
        <v>0</v>
      </c>
    </row>
    <row r="9" spans="1:11" x14ac:dyDescent="0.3">
      <c r="A9" t="s">
        <v>145</v>
      </c>
      <c r="B9" s="5">
        <v>32067701393</v>
      </c>
      <c r="C9" s="6" t="str">
        <f t="shared" si="1"/>
        <v>032067701393</v>
      </c>
      <c r="D9" s="6">
        <f t="shared" si="2"/>
        <v>0</v>
      </c>
      <c r="F9" t="s">
        <v>145</v>
      </c>
      <c r="G9">
        <v>986.3</v>
      </c>
      <c r="H9" t="s">
        <v>146</v>
      </c>
      <c r="I9" t="s">
        <v>147</v>
      </c>
      <c r="J9" t="s">
        <v>280</v>
      </c>
      <c r="K9" s="5">
        <f t="shared" si="0"/>
        <v>0</v>
      </c>
    </row>
    <row r="10" spans="1:11" x14ac:dyDescent="0.3">
      <c r="A10" t="s">
        <v>225</v>
      </c>
      <c r="B10" s="5">
        <v>182512961043726</v>
      </c>
      <c r="C10" s="6" t="str">
        <f t="shared" si="1"/>
        <v>182512961043726</v>
      </c>
      <c r="D10" s="6">
        <f t="shared" si="2"/>
        <v>0</v>
      </c>
      <c r="F10" t="s">
        <v>225</v>
      </c>
      <c r="G10">
        <v>1972.6</v>
      </c>
      <c r="H10" t="s">
        <v>144</v>
      </c>
      <c r="I10" t="s">
        <v>226</v>
      </c>
      <c r="J10" t="s">
        <v>281</v>
      </c>
      <c r="K10" s="5">
        <f t="shared" si="0"/>
        <v>0</v>
      </c>
    </row>
    <row r="11" spans="1:11" x14ac:dyDescent="0.3">
      <c r="A11" s="2" t="s">
        <v>50</v>
      </c>
      <c r="B11" s="5">
        <v>633000128234671</v>
      </c>
      <c r="C11" s="6" t="e">
        <f t="shared" si="1"/>
        <v>#N/A</v>
      </c>
      <c r="D11" s="6" t="e">
        <f t="shared" si="2"/>
        <v>#N/A</v>
      </c>
      <c r="K11" s="5">
        <f t="shared" si="0"/>
        <v>633000128234671</v>
      </c>
    </row>
    <row r="12" spans="1:11" x14ac:dyDescent="0.3">
      <c r="A12" t="s">
        <v>34</v>
      </c>
      <c r="B12" s="5">
        <v>6224310250796</v>
      </c>
      <c r="C12" s="6" t="str">
        <f t="shared" si="1"/>
        <v>06224310250796</v>
      </c>
      <c r="D12" s="6">
        <f t="shared" si="2"/>
        <v>0</v>
      </c>
      <c r="F12" t="s">
        <v>34</v>
      </c>
      <c r="G12">
        <v>1972.6</v>
      </c>
      <c r="H12" t="s">
        <v>187</v>
      </c>
      <c r="I12" t="s">
        <v>188</v>
      </c>
      <c r="J12" t="s">
        <v>282</v>
      </c>
      <c r="K12" s="5">
        <f t="shared" si="0"/>
        <v>0</v>
      </c>
    </row>
    <row r="13" spans="1:11" x14ac:dyDescent="0.3">
      <c r="A13" t="s">
        <v>214</v>
      </c>
      <c r="B13" s="5">
        <v>182512969313683</v>
      </c>
      <c r="C13" s="6" t="str">
        <f t="shared" si="1"/>
        <v>182512969313683</v>
      </c>
      <c r="D13" s="6">
        <f t="shared" si="2"/>
        <v>0</v>
      </c>
      <c r="F13" t="s">
        <v>214</v>
      </c>
      <c r="G13">
        <v>1315.07</v>
      </c>
      <c r="H13" t="s">
        <v>144</v>
      </c>
      <c r="I13" t="s">
        <v>215</v>
      </c>
      <c r="J13" t="s">
        <v>283</v>
      </c>
      <c r="K13" s="5">
        <f t="shared" si="0"/>
        <v>0</v>
      </c>
    </row>
    <row r="14" spans="1:11" x14ac:dyDescent="0.3">
      <c r="A14" t="s">
        <v>38</v>
      </c>
      <c r="B14" s="5">
        <v>733089728345</v>
      </c>
      <c r="C14" s="6" t="str">
        <f t="shared" si="1"/>
        <v>733089728345</v>
      </c>
      <c r="D14" s="6">
        <f t="shared" si="2"/>
        <v>0</v>
      </c>
      <c r="F14" t="s">
        <v>38</v>
      </c>
      <c r="G14">
        <v>1315.07</v>
      </c>
      <c r="H14" t="s">
        <v>196</v>
      </c>
      <c r="I14" t="s">
        <v>197</v>
      </c>
      <c r="J14" t="s">
        <v>284</v>
      </c>
      <c r="K14" s="5">
        <f t="shared" si="0"/>
        <v>0</v>
      </c>
    </row>
    <row r="15" spans="1:11" x14ac:dyDescent="0.3">
      <c r="A15" s="2" t="s">
        <v>105</v>
      </c>
      <c r="B15" s="5">
        <v>182182003547619</v>
      </c>
      <c r="C15" s="6" t="e">
        <f t="shared" si="1"/>
        <v>#N/A</v>
      </c>
      <c r="D15" s="6" t="e">
        <f t="shared" si="2"/>
        <v>#N/A</v>
      </c>
      <c r="K15" s="5">
        <f t="shared" si="0"/>
        <v>182182003547619</v>
      </c>
    </row>
    <row r="16" spans="1:11" x14ac:dyDescent="0.3">
      <c r="A16" s="2" t="s">
        <v>252</v>
      </c>
      <c r="B16" s="5">
        <v>112879452932773</v>
      </c>
      <c r="C16" s="6" t="e">
        <f t="shared" si="1"/>
        <v>#N/A</v>
      </c>
      <c r="D16" s="6" t="e">
        <f t="shared" si="2"/>
        <v>#N/A</v>
      </c>
      <c r="K16" s="5">
        <f t="shared" si="0"/>
        <v>112879452932773</v>
      </c>
    </row>
    <row r="17" spans="1:11" x14ac:dyDescent="0.3">
      <c r="A17" t="s">
        <v>32</v>
      </c>
      <c r="B17" s="5">
        <v>332003553544235</v>
      </c>
      <c r="C17" s="6" t="str">
        <f t="shared" si="1"/>
        <v>332003553544235</v>
      </c>
      <c r="D17" s="6">
        <f t="shared" si="2"/>
        <v>0</v>
      </c>
      <c r="F17" t="s">
        <v>32</v>
      </c>
      <c r="G17">
        <v>5079.45</v>
      </c>
      <c r="H17" t="s">
        <v>185</v>
      </c>
      <c r="I17" t="s">
        <v>186</v>
      </c>
      <c r="J17" t="s">
        <v>285</v>
      </c>
      <c r="K17" s="5">
        <f t="shared" si="0"/>
        <v>0</v>
      </c>
    </row>
    <row r="18" spans="1:11" x14ac:dyDescent="0.3">
      <c r="A18" s="2" t="s">
        <v>46</v>
      </c>
      <c r="B18" s="5">
        <v>6201628045002</v>
      </c>
      <c r="C18" s="6" t="e">
        <f t="shared" si="1"/>
        <v>#N/A</v>
      </c>
      <c r="D18" s="6" t="e">
        <f t="shared" si="2"/>
        <v>#N/A</v>
      </c>
      <c r="F18" t="s">
        <v>91</v>
      </c>
      <c r="G18">
        <v>789.04</v>
      </c>
      <c r="H18" t="s">
        <v>206</v>
      </c>
      <c r="I18" t="s">
        <v>207</v>
      </c>
      <c r="J18" t="s">
        <v>286</v>
      </c>
      <c r="K18" s="5">
        <f t="shared" si="0"/>
        <v>0</v>
      </c>
    </row>
    <row r="19" spans="1:11" x14ac:dyDescent="0.3">
      <c r="A19" s="2" t="s">
        <v>11</v>
      </c>
      <c r="B19" s="5">
        <v>12878501117725</v>
      </c>
      <c r="C19" s="6" t="e">
        <f t="shared" si="1"/>
        <v>#N/A</v>
      </c>
      <c r="D19" s="6" t="e">
        <f t="shared" si="2"/>
        <v>#N/A</v>
      </c>
      <c r="K19" s="5">
        <f t="shared" si="0"/>
        <v>12878501117725</v>
      </c>
    </row>
    <row r="20" spans="1:11" x14ac:dyDescent="0.3">
      <c r="A20" t="s">
        <v>134</v>
      </c>
      <c r="B20" s="5">
        <v>732083628517</v>
      </c>
      <c r="C20" s="6" t="str">
        <f t="shared" si="1"/>
        <v>732083628517</v>
      </c>
      <c r="D20" s="6">
        <f t="shared" si="2"/>
        <v>0</v>
      </c>
      <c r="F20" t="s">
        <v>134</v>
      </c>
      <c r="G20">
        <v>2465.75</v>
      </c>
      <c r="H20" t="s">
        <v>241</v>
      </c>
      <c r="I20" t="s">
        <v>242</v>
      </c>
      <c r="J20" t="s">
        <v>287</v>
      </c>
      <c r="K20" s="5">
        <f t="shared" si="0"/>
        <v>0</v>
      </c>
    </row>
    <row r="21" spans="1:11" x14ac:dyDescent="0.3">
      <c r="A21" t="s">
        <v>108</v>
      </c>
      <c r="B21" s="5">
        <v>6203310897263</v>
      </c>
      <c r="C21" s="6" t="str">
        <f t="shared" si="1"/>
        <v>06203310897263</v>
      </c>
      <c r="D21" s="6">
        <f t="shared" si="2"/>
        <v>0</v>
      </c>
      <c r="F21" t="s">
        <v>108</v>
      </c>
      <c r="G21">
        <v>1528.77</v>
      </c>
      <c r="H21" t="s">
        <v>216</v>
      </c>
      <c r="I21" t="s">
        <v>217</v>
      </c>
      <c r="J21" t="s">
        <v>288</v>
      </c>
      <c r="K21" s="5">
        <f t="shared" si="0"/>
        <v>0</v>
      </c>
    </row>
    <row r="22" spans="1:11" x14ac:dyDescent="0.3">
      <c r="A22" s="2" t="s">
        <v>131</v>
      </c>
      <c r="B22" s="5">
        <v>733048559442</v>
      </c>
      <c r="C22" s="6" t="e">
        <f t="shared" si="1"/>
        <v>#N/A</v>
      </c>
      <c r="D22" s="6" t="e">
        <f t="shared" si="2"/>
        <v>#N/A</v>
      </c>
      <c r="K22" s="5">
        <f t="shared" si="0"/>
        <v>733048559442</v>
      </c>
    </row>
    <row r="23" spans="1:11" x14ac:dyDescent="0.3">
      <c r="A23" s="2" t="s">
        <v>253</v>
      </c>
      <c r="B23" s="5">
        <v>32274234134</v>
      </c>
      <c r="C23" s="6" t="e">
        <f t="shared" si="1"/>
        <v>#N/A</v>
      </c>
      <c r="D23" s="6" t="e">
        <f t="shared" si="2"/>
        <v>#N/A</v>
      </c>
      <c r="K23" s="5">
        <f t="shared" si="0"/>
        <v>32274234134</v>
      </c>
    </row>
    <row r="24" spans="1:11" x14ac:dyDescent="0.3">
      <c r="A24" t="s">
        <v>137</v>
      </c>
      <c r="B24" s="5">
        <v>112879438684822</v>
      </c>
      <c r="C24" s="6" t="str">
        <f t="shared" si="1"/>
        <v>112879438684822</v>
      </c>
      <c r="D24" s="6">
        <f t="shared" si="2"/>
        <v>0</v>
      </c>
      <c r="F24" t="s">
        <v>137</v>
      </c>
      <c r="G24">
        <v>2465.75</v>
      </c>
      <c r="H24" t="s">
        <v>198</v>
      </c>
      <c r="I24" t="s">
        <v>246</v>
      </c>
      <c r="J24" t="s">
        <v>289</v>
      </c>
      <c r="K24" s="5">
        <f t="shared" si="0"/>
        <v>0</v>
      </c>
    </row>
    <row r="25" spans="1:11" x14ac:dyDescent="0.3">
      <c r="A25" s="2" t="s">
        <v>189</v>
      </c>
      <c r="B25" s="5">
        <v>6412710497155</v>
      </c>
      <c r="C25" s="6" t="str">
        <f t="shared" ref="C25:C56" si="3">VLOOKUP(A25,F:J,5,FALSE)</f>
        <v>06412710497155</v>
      </c>
      <c r="D25" s="6">
        <f t="shared" ref="D25:D58" si="4">B25-C25</f>
        <v>0</v>
      </c>
      <c r="F25" t="s">
        <v>129</v>
      </c>
      <c r="G25">
        <v>51500</v>
      </c>
      <c r="H25" t="s">
        <v>149</v>
      </c>
      <c r="I25" t="s">
        <v>221</v>
      </c>
      <c r="J25" t="s">
        <v>290</v>
      </c>
      <c r="K25" s="5" t="e">
        <f>#REF!-J25</f>
        <v>#REF!</v>
      </c>
    </row>
    <row r="26" spans="1:11" x14ac:dyDescent="0.3">
      <c r="A26" s="3" t="s">
        <v>160</v>
      </c>
      <c r="B26" s="5">
        <v>6226510520606</v>
      </c>
      <c r="C26" s="6" t="str">
        <f t="shared" si="3"/>
        <v>06226510520606</v>
      </c>
      <c r="D26" s="6">
        <f t="shared" si="4"/>
        <v>0</v>
      </c>
      <c r="F26" t="s">
        <v>189</v>
      </c>
      <c r="G26">
        <v>3821.92</v>
      </c>
      <c r="H26" t="s">
        <v>190</v>
      </c>
      <c r="I26" t="s">
        <v>191</v>
      </c>
      <c r="J26" t="s">
        <v>291</v>
      </c>
      <c r="K26" s="5" t="e">
        <f>#REF!-J26</f>
        <v>#REF!</v>
      </c>
    </row>
    <row r="27" spans="1:11" x14ac:dyDescent="0.3">
      <c r="A27" t="s">
        <v>101</v>
      </c>
      <c r="B27" s="5">
        <v>6222311523910</v>
      </c>
      <c r="C27" s="6" t="str">
        <f t="shared" si="3"/>
        <v>06222311523910</v>
      </c>
      <c r="D27" s="6">
        <f t="shared" si="4"/>
        <v>0</v>
      </c>
      <c r="F27" t="s">
        <v>101</v>
      </c>
      <c r="G27">
        <v>3057.53</v>
      </c>
      <c r="H27" t="s">
        <v>172</v>
      </c>
      <c r="I27" t="s">
        <v>203</v>
      </c>
      <c r="J27" t="s">
        <v>292</v>
      </c>
      <c r="K27" s="5">
        <f>B25-J27</f>
        <v>190398973245</v>
      </c>
    </row>
    <row r="28" spans="1:11" x14ac:dyDescent="0.3">
      <c r="A28" t="s">
        <v>36</v>
      </c>
      <c r="B28" s="5">
        <v>332003554318694</v>
      </c>
      <c r="C28" s="6" t="str">
        <f t="shared" si="3"/>
        <v>332003554318694</v>
      </c>
      <c r="D28" s="6">
        <f t="shared" si="4"/>
        <v>0</v>
      </c>
      <c r="F28" t="s">
        <v>36</v>
      </c>
      <c r="G28">
        <v>6115.07</v>
      </c>
      <c r="H28" t="s">
        <v>185</v>
      </c>
      <c r="I28" t="s">
        <v>193</v>
      </c>
      <c r="J28" t="s">
        <v>293</v>
      </c>
      <c r="K28" s="5">
        <f>B26-J28</f>
        <v>-325777043798088</v>
      </c>
    </row>
    <row r="29" spans="1:11" x14ac:dyDescent="0.3">
      <c r="A29" s="2" t="s">
        <v>31</v>
      </c>
      <c r="B29" s="5">
        <v>332003552832323</v>
      </c>
      <c r="C29" s="6" t="e">
        <f t="shared" si="3"/>
        <v>#N/A</v>
      </c>
      <c r="D29" s="6" t="e">
        <f t="shared" si="4"/>
        <v>#N/A</v>
      </c>
      <c r="F29" t="s">
        <v>171</v>
      </c>
      <c r="G29">
        <v>1146.58</v>
      </c>
      <c r="H29" t="s">
        <v>172</v>
      </c>
      <c r="I29" t="s">
        <v>173</v>
      </c>
      <c r="J29" t="s">
        <v>294</v>
      </c>
      <c r="K29" s="5">
        <f>B27-J29</f>
        <v>489164</v>
      </c>
    </row>
    <row r="30" spans="1:11" x14ac:dyDescent="0.3">
      <c r="A30" t="s">
        <v>171</v>
      </c>
      <c r="B30" s="5">
        <v>6222311034746</v>
      </c>
      <c r="C30" s="6" t="str">
        <f t="shared" si="3"/>
        <v>06222311034746</v>
      </c>
      <c r="D30" s="6">
        <f t="shared" si="4"/>
        <v>0</v>
      </c>
      <c r="F30" t="s">
        <v>87</v>
      </c>
      <c r="G30">
        <v>764.38</v>
      </c>
      <c r="H30" t="s">
        <v>172</v>
      </c>
      <c r="I30" t="s">
        <v>173</v>
      </c>
      <c r="J30" t="s">
        <v>294</v>
      </c>
      <c r="K30" s="5">
        <f>B28-J30</f>
        <v>325781243283948</v>
      </c>
    </row>
    <row r="31" spans="1:11" x14ac:dyDescent="0.3">
      <c r="A31" t="s">
        <v>87</v>
      </c>
      <c r="B31" s="5">
        <v>6222311034746</v>
      </c>
      <c r="C31" s="6" t="str">
        <f t="shared" si="3"/>
        <v>06222311034746</v>
      </c>
      <c r="D31" s="6">
        <f t="shared" si="4"/>
        <v>0</v>
      </c>
      <c r="F31" t="s">
        <v>126</v>
      </c>
      <c r="G31">
        <v>7643.84</v>
      </c>
      <c r="H31" t="s">
        <v>227</v>
      </c>
      <c r="I31" t="s">
        <v>228</v>
      </c>
      <c r="J31" t="s">
        <v>295</v>
      </c>
      <c r="K31" s="5" t="e">
        <f>#REF!-J31</f>
        <v>#REF!</v>
      </c>
    </row>
    <row r="32" spans="1:11" x14ac:dyDescent="0.3">
      <c r="A32" t="s">
        <v>126</v>
      </c>
      <c r="B32" s="5">
        <v>732036740661</v>
      </c>
      <c r="C32" s="6" t="str">
        <f t="shared" si="3"/>
        <v>732036740661</v>
      </c>
      <c r="D32" s="6">
        <f t="shared" si="4"/>
        <v>0</v>
      </c>
      <c r="F32" t="s">
        <v>28</v>
      </c>
      <c r="G32">
        <v>13376.71</v>
      </c>
      <c r="H32" t="s">
        <v>179</v>
      </c>
      <c r="I32" t="s">
        <v>180</v>
      </c>
      <c r="J32" t="s">
        <v>296</v>
      </c>
      <c r="K32" s="5">
        <f t="shared" ref="K32:K47" si="5">B29-J32</f>
        <v>331271409288377</v>
      </c>
    </row>
    <row r="33" spans="1:11" x14ac:dyDescent="0.3">
      <c r="A33" t="s">
        <v>8</v>
      </c>
      <c r="B33" s="5">
        <v>182512963324603</v>
      </c>
      <c r="C33" s="6" t="str">
        <f t="shared" si="3"/>
        <v>182512963324603</v>
      </c>
      <c r="D33" s="6">
        <f t="shared" si="4"/>
        <v>0</v>
      </c>
      <c r="F33" t="s">
        <v>240</v>
      </c>
      <c r="G33">
        <v>382.19</v>
      </c>
      <c r="H33" t="s">
        <v>164</v>
      </c>
      <c r="I33" t="s">
        <v>165</v>
      </c>
      <c r="J33" t="s">
        <v>297</v>
      </c>
      <c r="K33" s="5">
        <f t="shared" si="5"/>
        <v>-6184016518446</v>
      </c>
    </row>
    <row r="34" spans="1:11" x14ac:dyDescent="0.3">
      <c r="A34" s="2" t="s">
        <v>254</v>
      </c>
      <c r="B34" s="5">
        <v>6214010343166</v>
      </c>
      <c r="C34" s="6" t="e">
        <f t="shared" si="3"/>
        <v>#N/A</v>
      </c>
      <c r="D34" s="6" t="e">
        <f t="shared" si="4"/>
        <v>#N/A</v>
      </c>
      <c r="F34" t="s">
        <v>235</v>
      </c>
      <c r="G34">
        <v>3287.67</v>
      </c>
      <c r="H34" t="s">
        <v>163</v>
      </c>
      <c r="I34" t="s">
        <v>236</v>
      </c>
      <c r="J34" t="s">
        <v>298</v>
      </c>
      <c r="K34" s="5">
        <f t="shared" si="5"/>
        <v>-1899396316236</v>
      </c>
    </row>
    <row r="35" spans="1:11" x14ac:dyDescent="0.3">
      <c r="A35" t="s">
        <v>240</v>
      </c>
      <c r="B35" s="5">
        <v>12406327553192</v>
      </c>
      <c r="C35" s="6" t="str">
        <f t="shared" si="3"/>
        <v>012406327553192</v>
      </c>
      <c r="D35" s="6">
        <f t="shared" si="4"/>
        <v>0</v>
      </c>
      <c r="F35" t="s">
        <v>113</v>
      </c>
      <c r="G35">
        <v>2958.9</v>
      </c>
      <c r="H35" t="s">
        <v>154</v>
      </c>
      <c r="I35" t="s">
        <v>268</v>
      </c>
      <c r="J35" t="s">
        <v>299</v>
      </c>
      <c r="K35" s="5">
        <f t="shared" si="5"/>
        <v>-5467983790196</v>
      </c>
    </row>
    <row r="36" spans="1:11" x14ac:dyDescent="0.3">
      <c r="A36" t="s">
        <v>235</v>
      </c>
      <c r="B36" s="5">
        <v>8121707350982</v>
      </c>
      <c r="C36" s="6" t="str">
        <f t="shared" si="3"/>
        <v>8121707350982</v>
      </c>
      <c r="D36" s="6">
        <f t="shared" si="4"/>
        <v>0</v>
      </c>
      <c r="F36" t="s">
        <v>237</v>
      </c>
      <c r="G36">
        <v>287.67</v>
      </c>
      <c r="H36" t="s">
        <v>238</v>
      </c>
      <c r="I36" t="s">
        <v>239</v>
      </c>
      <c r="J36" t="s">
        <v>300</v>
      </c>
      <c r="K36" s="5">
        <f t="shared" si="5"/>
        <v>100036137811679</v>
      </c>
    </row>
    <row r="37" spans="1:11" x14ac:dyDescent="0.3">
      <c r="A37" s="2" t="s">
        <v>10</v>
      </c>
      <c r="B37" s="5">
        <v>182512970305967</v>
      </c>
      <c r="C37" s="6" t="e">
        <f t="shared" si="3"/>
        <v>#N/A</v>
      </c>
      <c r="D37" s="6" t="e">
        <f t="shared" si="4"/>
        <v>#N/A</v>
      </c>
      <c r="F37" t="s">
        <v>41</v>
      </c>
      <c r="G37">
        <v>4109.59</v>
      </c>
      <c r="H37" t="s">
        <v>201</v>
      </c>
      <c r="I37" t="s">
        <v>202</v>
      </c>
      <c r="J37" t="s">
        <v>301</v>
      </c>
      <c r="K37" s="5">
        <f t="shared" si="5"/>
        <v>-75843588852290</v>
      </c>
    </row>
    <row r="38" spans="1:11" x14ac:dyDescent="0.3">
      <c r="A38" s="2" t="s">
        <v>255</v>
      </c>
      <c r="B38" s="5">
        <v>182512970305967</v>
      </c>
      <c r="C38" s="6" t="e">
        <f t="shared" si="3"/>
        <v>#N/A</v>
      </c>
      <c r="D38" s="6" t="e">
        <f t="shared" si="4"/>
        <v>#N/A</v>
      </c>
      <c r="F38" t="s">
        <v>222</v>
      </c>
      <c r="G38">
        <v>986.3</v>
      </c>
      <c r="H38" t="s">
        <v>223</v>
      </c>
      <c r="I38" t="s">
        <v>224</v>
      </c>
      <c r="J38" t="s">
        <v>302</v>
      </c>
      <c r="K38" s="5">
        <f t="shared" si="5"/>
        <v>-70356428726067</v>
      </c>
    </row>
    <row r="39" spans="1:11" x14ac:dyDescent="0.3">
      <c r="A39" s="2" t="s">
        <v>48</v>
      </c>
      <c r="B39" s="5">
        <v>6294823586774</v>
      </c>
      <c r="C39" s="6" t="e">
        <f t="shared" si="3"/>
        <v>#N/A</v>
      </c>
      <c r="D39" s="6" t="e">
        <f t="shared" si="4"/>
        <v>#N/A</v>
      </c>
      <c r="F39" t="s">
        <v>177</v>
      </c>
      <c r="G39">
        <v>7261.64</v>
      </c>
      <c r="H39" t="s">
        <v>144</v>
      </c>
      <c r="I39" t="s">
        <v>178</v>
      </c>
      <c r="J39" t="s">
        <v>303</v>
      </c>
      <c r="K39" s="5">
        <f t="shared" si="5"/>
        <v>-174391264218439</v>
      </c>
    </row>
    <row r="40" spans="1:11" x14ac:dyDescent="0.3">
      <c r="A40" t="s">
        <v>113</v>
      </c>
      <c r="B40" s="5">
        <v>6200020530857</v>
      </c>
      <c r="C40" s="6" t="str">
        <f t="shared" si="3"/>
        <v>06200020530857</v>
      </c>
      <c r="D40" s="6">
        <f t="shared" si="4"/>
        <v>0</v>
      </c>
      <c r="F40" t="s">
        <v>17</v>
      </c>
      <c r="G40">
        <v>3945.21</v>
      </c>
      <c r="H40" t="s">
        <v>166</v>
      </c>
      <c r="I40" t="s">
        <v>167</v>
      </c>
      <c r="J40" t="s">
        <v>304</v>
      </c>
      <c r="K40" s="5">
        <f t="shared" si="5"/>
        <v>170122493919891</v>
      </c>
    </row>
    <row r="41" spans="1:11" x14ac:dyDescent="0.3">
      <c r="A41" t="s">
        <v>237</v>
      </c>
      <c r="B41" s="5">
        <v>82476825512924</v>
      </c>
      <c r="C41" s="6" t="str">
        <f t="shared" si="3"/>
        <v>082476825512924</v>
      </c>
      <c r="D41" s="6">
        <f t="shared" si="4"/>
        <v>0</v>
      </c>
      <c r="F41" t="s">
        <v>49</v>
      </c>
      <c r="G41">
        <v>764.38</v>
      </c>
      <c r="H41" t="s">
        <v>210</v>
      </c>
      <c r="I41" t="s">
        <v>211</v>
      </c>
      <c r="J41" t="s">
        <v>305</v>
      </c>
      <c r="K41" s="5">
        <f t="shared" si="5"/>
        <v>-450487140733128</v>
      </c>
    </row>
    <row r="42" spans="1:11" x14ac:dyDescent="0.3">
      <c r="A42" s="2" t="s">
        <v>5</v>
      </c>
      <c r="B42" s="5">
        <v>182222116793431</v>
      </c>
      <c r="C42" s="6" t="e">
        <f t="shared" si="3"/>
        <v>#N/A</v>
      </c>
      <c r="D42" s="6" t="e">
        <f t="shared" si="4"/>
        <v>#N/A</v>
      </c>
      <c r="F42" t="s">
        <v>205</v>
      </c>
      <c r="G42">
        <v>7561.64</v>
      </c>
      <c r="J42" t="s">
        <v>306</v>
      </c>
      <c r="K42" s="5" t="e">
        <f t="shared" si="5"/>
        <v>#VALUE!</v>
      </c>
    </row>
    <row r="43" spans="1:11" x14ac:dyDescent="0.3">
      <c r="A43" t="s">
        <v>41</v>
      </c>
      <c r="B43" s="5">
        <v>82057599195456</v>
      </c>
      <c r="C43" s="6" t="str">
        <f t="shared" si="3"/>
        <v>082057599195456</v>
      </c>
      <c r="D43" s="6">
        <f t="shared" si="4"/>
        <v>0</v>
      </c>
      <c r="F43" t="s">
        <v>157</v>
      </c>
      <c r="G43">
        <v>1578.08</v>
      </c>
      <c r="H43" t="s">
        <v>158</v>
      </c>
      <c r="I43" t="s">
        <v>159</v>
      </c>
      <c r="J43" t="s">
        <v>307</v>
      </c>
      <c r="K43" s="5">
        <f t="shared" si="5"/>
        <v>-490816037</v>
      </c>
    </row>
    <row r="44" spans="1:11" x14ac:dyDescent="0.3">
      <c r="A44" s="2" t="s">
        <v>169</v>
      </c>
      <c r="B44" s="5">
        <v>182182006187330</v>
      </c>
      <c r="C44" s="6" t="e">
        <f t="shared" si="3"/>
        <v>#N/A</v>
      </c>
      <c r="D44" s="6" t="e">
        <f t="shared" si="4"/>
        <v>#N/A</v>
      </c>
      <c r="F44" t="s">
        <v>6</v>
      </c>
      <c r="G44">
        <v>677.26</v>
      </c>
      <c r="H44" t="s">
        <v>154</v>
      </c>
      <c r="I44" t="s">
        <v>155</v>
      </c>
      <c r="J44" t="s">
        <v>308</v>
      </c>
      <c r="K44" s="5">
        <f t="shared" si="5"/>
        <v>76276806246936</v>
      </c>
    </row>
    <row r="45" spans="1:11" x14ac:dyDescent="0.3">
      <c r="A45" s="2" t="s">
        <v>61</v>
      </c>
      <c r="B45" s="5">
        <v>6269247717371</v>
      </c>
      <c r="C45" s="6" t="e">
        <f t="shared" si="3"/>
        <v>#N/A</v>
      </c>
      <c r="D45" s="6" t="e">
        <f t="shared" si="4"/>
        <v>#N/A</v>
      </c>
      <c r="F45" t="s">
        <v>160</v>
      </c>
      <c r="G45">
        <v>3821.92</v>
      </c>
      <c r="H45" t="s">
        <v>161</v>
      </c>
      <c r="I45" t="s">
        <v>162</v>
      </c>
      <c r="J45" t="s">
        <v>309</v>
      </c>
      <c r="K45" s="5">
        <f t="shared" si="5"/>
        <v>175995606272825</v>
      </c>
    </row>
    <row r="46" spans="1:11" x14ac:dyDescent="0.3">
      <c r="A46" t="s">
        <v>222</v>
      </c>
      <c r="B46" s="5">
        <v>82762756279259</v>
      </c>
      <c r="C46" s="6" t="str">
        <f t="shared" si="3"/>
        <v>082762756279259</v>
      </c>
      <c r="D46" s="6">
        <f t="shared" si="4"/>
        <v>0</v>
      </c>
      <c r="F46" t="s">
        <v>29</v>
      </c>
      <c r="G46">
        <v>7643.84</v>
      </c>
      <c r="H46" t="s">
        <v>181</v>
      </c>
      <c r="I46" t="s">
        <v>182</v>
      </c>
      <c r="J46" t="s">
        <v>310</v>
      </c>
      <c r="K46" s="5">
        <f t="shared" si="5"/>
        <v>82025063086695</v>
      </c>
    </row>
    <row r="47" spans="1:11" x14ac:dyDescent="0.3">
      <c r="A47" s="2" t="s">
        <v>12</v>
      </c>
      <c r="B47" s="5">
        <v>6716732156549</v>
      </c>
      <c r="C47" s="6" t="e">
        <f t="shared" si="3"/>
        <v>#N/A</v>
      </c>
      <c r="D47" s="6" t="e">
        <f t="shared" si="4"/>
        <v>#N/A</v>
      </c>
      <c r="F47" t="s">
        <v>98</v>
      </c>
      <c r="G47">
        <v>2876.71</v>
      </c>
      <c r="H47" t="s">
        <v>198</v>
      </c>
      <c r="I47" t="s">
        <v>218</v>
      </c>
      <c r="J47" t="s">
        <v>311</v>
      </c>
      <c r="K47" s="5">
        <f t="shared" si="5"/>
        <v>69302900681247</v>
      </c>
    </row>
    <row r="48" spans="1:11" x14ac:dyDescent="0.3">
      <c r="A48" s="2" t="s">
        <v>14</v>
      </c>
      <c r="B48" s="5">
        <v>83088423566735</v>
      </c>
      <c r="C48" s="6" t="e">
        <f t="shared" si="3"/>
        <v>#N/A</v>
      </c>
      <c r="D48" s="6" t="e">
        <f t="shared" si="4"/>
        <v>#N/A</v>
      </c>
      <c r="F48" t="s">
        <v>258</v>
      </c>
      <c r="G48">
        <v>1324.93</v>
      </c>
      <c r="H48" t="s">
        <v>144</v>
      </c>
      <c r="I48" t="s">
        <v>269</v>
      </c>
      <c r="J48" t="s">
        <v>312</v>
      </c>
      <c r="K48" s="5" t="e">
        <f>#REF!-J48</f>
        <v>#REF!</v>
      </c>
    </row>
    <row r="49" spans="1:11" x14ac:dyDescent="0.3">
      <c r="A49" s="2" t="s">
        <v>143</v>
      </c>
      <c r="B49" s="5">
        <v>182512961534336</v>
      </c>
      <c r="C49" s="6" t="e">
        <f t="shared" si="3"/>
        <v>#N/A</v>
      </c>
      <c r="D49" s="6" t="e">
        <f t="shared" si="4"/>
        <v>#N/A</v>
      </c>
      <c r="F49" t="s">
        <v>151</v>
      </c>
      <c r="G49">
        <v>1972.6</v>
      </c>
      <c r="H49" t="s">
        <v>149</v>
      </c>
      <c r="I49" t="s">
        <v>152</v>
      </c>
      <c r="J49" t="s">
        <v>313</v>
      </c>
      <c r="K49" s="5">
        <f t="shared" ref="K49:K56" si="6">B45-J49</f>
        <v>-6022151780934</v>
      </c>
    </row>
    <row r="50" spans="1:11" x14ac:dyDescent="0.3">
      <c r="A50" s="2" t="s">
        <v>104</v>
      </c>
      <c r="B50" s="5">
        <v>1.8251200097156899E+17</v>
      </c>
      <c r="C50" s="6" t="e">
        <f t="shared" si="3"/>
        <v>#N/A</v>
      </c>
      <c r="D50" s="6" t="e">
        <f t="shared" si="4"/>
        <v>#N/A</v>
      </c>
      <c r="F50" t="s">
        <v>35</v>
      </c>
      <c r="G50">
        <v>5810.96</v>
      </c>
      <c r="H50" t="s">
        <v>168</v>
      </c>
      <c r="I50" t="s">
        <v>192</v>
      </c>
      <c r="J50" t="s">
        <v>314</v>
      </c>
      <c r="K50" s="5">
        <f t="shared" si="6"/>
        <v>76548745914446</v>
      </c>
    </row>
    <row r="51" spans="1:11" x14ac:dyDescent="0.3">
      <c r="A51" t="s">
        <v>17</v>
      </c>
      <c r="B51" s="5">
        <v>12390476386076</v>
      </c>
      <c r="C51" s="6" t="str">
        <f t="shared" si="3"/>
        <v>012390476386076</v>
      </c>
      <c r="D51" s="6">
        <f t="shared" si="4"/>
        <v>0</v>
      </c>
      <c r="F51" t="s">
        <v>88</v>
      </c>
      <c r="G51">
        <v>764.38</v>
      </c>
      <c r="H51" t="s">
        <v>201</v>
      </c>
      <c r="I51" t="s">
        <v>204</v>
      </c>
      <c r="J51" t="s">
        <v>315</v>
      </c>
      <c r="K51" s="5">
        <f t="shared" si="6"/>
        <v>-75340686731196</v>
      </c>
    </row>
    <row r="52" spans="1:11" x14ac:dyDescent="0.3">
      <c r="A52" s="2" t="s">
        <v>4</v>
      </c>
      <c r="B52" s="5">
        <v>82124232891500</v>
      </c>
      <c r="C52" s="6" t="e">
        <f t="shared" si="3"/>
        <v>#N/A</v>
      </c>
      <c r="D52" s="6" t="e">
        <f t="shared" si="4"/>
        <v>#N/A</v>
      </c>
      <c r="F52" t="s">
        <v>136</v>
      </c>
      <c r="G52">
        <v>4931.51</v>
      </c>
      <c r="H52" t="s">
        <v>170</v>
      </c>
      <c r="I52" t="s">
        <v>270</v>
      </c>
      <c r="J52" t="s">
        <v>316</v>
      </c>
      <c r="K52" s="5">
        <f t="shared" si="6"/>
        <v>82906241438322</v>
      </c>
    </row>
    <row r="53" spans="1:11" x14ac:dyDescent="0.3">
      <c r="A53" s="2" t="s">
        <v>256</v>
      </c>
      <c r="B53" s="5">
        <v>12330181753297</v>
      </c>
      <c r="C53" s="6" t="e">
        <f t="shared" si="3"/>
        <v>#N/A</v>
      </c>
      <c r="D53" s="6" t="e">
        <f t="shared" si="4"/>
        <v>#N/A</v>
      </c>
      <c r="F53" t="s">
        <v>8</v>
      </c>
      <c r="G53">
        <v>1643.84</v>
      </c>
      <c r="H53" t="s">
        <v>144</v>
      </c>
      <c r="I53" t="s">
        <v>156</v>
      </c>
      <c r="J53" t="s">
        <v>317</v>
      </c>
      <c r="K53" s="5">
        <f t="shared" si="6"/>
        <v>-1790267</v>
      </c>
    </row>
    <row r="54" spans="1:11" x14ac:dyDescent="0.3">
      <c r="A54" t="s">
        <v>49</v>
      </c>
      <c r="B54" s="5">
        <v>182182003903846</v>
      </c>
      <c r="C54" s="6" t="str">
        <f t="shared" si="3"/>
        <v>633000111039095</v>
      </c>
      <c r="D54" s="6">
        <f t="shared" si="4"/>
        <v>-450818107135249</v>
      </c>
      <c r="F54" t="s">
        <v>194</v>
      </c>
      <c r="G54">
        <v>1380.82</v>
      </c>
      <c r="H54" t="s">
        <v>153</v>
      </c>
      <c r="I54" t="s">
        <v>195</v>
      </c>
      <c r="J54" t="s">
        <v>318</v>
      </c>
      <c r="K54" s="5">
        <f t="shared" si="6"/>
        <v>1.8232977874044384E+17</v>
      </c>
    </row>
    <row r="55" spans="1:11" x14ac:dyDescent="0.3">
      <c r="A55" s="2" t="s">
        <v>45</v>
      </c>
      <c r="B55" s="5">
        <v>6201628044966</v>
      </c>
      <c r="C55" s="6" t="e">
        <f t="shared" si="3"/>
        <v>#N/A</v>
      </c>
      <c r="D55" s="6" t="e">
        <f t="shared" si="4"/>
        <v>#N/A</v>
      </c>
      <c r="F55" t="s">
        <v>174</v>
      </c>
      <c r="G55">
        <v>657.53</v>
      </c>
      <c r="H55" t="s">
        <v>175</v>
      </c>
      <c r="I55" t="s">
        <v>176</v>
      </c>
      <c r="J55" t="s">
        <v>319</v>
      </c>
      <c r="K55" s="5">
        <f t="shared" si="6"/>
        <v>-910709830459514</v>
      </c>
    </row>
    <row r="56" spans="1:11" x14ac:dyDescent="0.3">
      <c r="A56" s="2" t="s">
        <v>9</v>
      </c>
      <c r="B56" s="5">
        <v>6200511346894</v>
      </c>
      <c r="C56" s="6" t="e">
        <f t="shared" si="3"/>
        <v>#N/A</v>
      </c>
      <c r="D56" s="6" t="e">
        <f t="shared" si="4"/>
        <v>#N/A</v>
      </c>
      <c r="F56" t="s">
        <v>271</v>
      </c>
      <c r="G56">
        <v>2136.9899999999998</v>
      </c>
      <c r="H56" t="s">
        <v>272</v>
      </c>
      <c r="I56" t="s">
        <v>273</v>
      </c>
      <c r="J56" t="s">
        <v>320</v>
      </c>
      <c r="K56" s="5">
        <f t="shared" si="6"/>
        <v>82090868876360</v>
      </c>
    </row>
    <row r="57" spans="1:11" x14ac:dyDescent="0.3">
      <c r="A57" t="s">
        <v>6</v>
      </c>
      <c r="B57" s="5">
        <v>6200019265988</v>
      </c>
      <c r="C57" s="6" t="str">
        <f t="shared" ref="C57:C88" si="7">VLOOKUP(A57,F:J,5,FALSE)</f>
        <v>06200019265988</v>
      </c>
      <c r="D57" s="6">
        <f t="shared" si="4"/>
        <v>0</v>
      </c>
      <c r="F57" t="s">
        <v>148</v>
      </c>
      <c r="G57">
        <v>33863.01</v>
      </c>
      <c r="H57" t="s">
        <v>149</v>
      </c>
      <c r="I57" t="s">
        <v>150</v>
      </c>
      <c r="J57" t="s">
        <v>321</v>
      </c>
    </row>
    <row r="58" spans="1:11" x14ac:dyDescent="0.3">
      <c r="A58" t="s">
        <v>29</v>
      </c>
      <c r="B58" s="5">
        <v>32536108761</v>
      </c>
      <c r="C58" s="6" t="str">
        <f t="shared" si="7"/>
        <v>032536108761</v>
      </c>
      <c r="D58" s="6">
        <f t="shared" si="4"/>
        <v>0</v>
      </c>
      <c r="F58" t="s">
        <v>85</v>
      </c>
      <c r="G58">
        <v>1299.45</v>
      </c>
      <c r="H58" t="s">
        <v>163</v>
      </c>
      <c r="I58" t="s">
        <v>199</v>
      </c>
      <c r="J58" t="s">
        <v>322</v>
      </c>
    </row>
    <row r="59" spans="1:11" x14ac:dyDescent="0.3">
      <c r="A59" t="s">
        <v>98</v>
      </c>
      <c r="B59" s="5" t="s">
        <v>257</v>
      </c>
      <c r="C59" s="6" t="str">
        <f t="shared" si="7"/>
        <v>112879105506083</v>
      </c>
      <c r="D59" s="6" t="e">
        <f>B59-C59</f>
        <v>#VALUE!</v>
      </c>
      <c r="F59" t="s">
        <v>0</v>
      </c>
      <c r="G59">
        <v>1315.07</v>
      </c>
      <c r="H59" t="s">
        <v>140</v>
      </c>
      <c r="I59" t="s">
        <v>141</v>
      </c>
      <c r="J59" t="s">
        <v>323</v>
      </c>
    </row>
    <row r="60" spans="1:11" x14ac:dyDescent="0.3">
      <c r="A60" s="2" t="s">
        <v>47</v>
      </c>
      <c r="B60" s="5">
        <v>112879414846225</v>
      </c>
      <c r="C60" s="6" t="e">
        <f t="shared" si="7"/>
        <v>#N/A</v>
      </c>
      <c r="D60" s="6" t="e">
        <f>B60-C60</f>
        <v>#N/A</v>
      </c>
      <c r="F60" t="s">
        <v>229</v>
      </c>
      <c r="G60">
        <v>986.3</v>
      </c>
      <c r="H60" t="s">
        <v>230</v>
      </c>
      <c r="I60" t="s">
        <v>231</v>
      </c>
      <c r="J60" t="s">
        <v>324</v>
      </c>
    </row>
    <row r="61" spans="1:11" x14ac:dyDescent="0.3">
      <c r="A61" t="s">
        <v>258</v>
      </c>
      <c r="B61" s="5">
        <v>182512966505943</v>
      </c>
      <c r="C61" s="6" t="str">
        <f t="shared" si="7"/>
        <v>182512966505943</v>
      </c>
      <c r="D61" s="6">
        <f>B61-C61</f>
        <v>0</v>
      </c>
      <c r="F61" t="s">
        <v>243</v>
      </c>
      <c r="G61">
        <v>19726.03</v>
      </c>
      <c r="H61" t="s">
        <v>244</v>
      </c>
      <c r="I61" t="s">
        <v>245</v>
      </c>
      <c r="J61" t="s">
        <v>325</v>
      </c>
    </row>
    <row r="62" spans="1:11" x14ac:dyDescent="0.3">
      <c r="A62" s="2" t="s">
        <v>1</v>
      </c>
      <c r="B62" s="5">
        <v>12291399498305</v>
      </c>
      <c r="C62" s="6" t="e">
        <f t="shared" si="7"/>
        <v>#N/A</v>
      </c>
      <c r="D62" s="6" t="e">
        <f>B62-C62</f>
        <v>#N/A</v>
      </c>
    </row>
    <row r="63" spans="1:11" x14ac:dyDescent="0.3">
      <c r="A63" s="2" t="s">
        <v>2</v>
      </c>
      <c r="B63" s="5">
        <v>70486502378200</v>
      </c>
      <c r="C63" s="6" t="e">
        <f t="shared" si="7"/>
        <v>#N/A</v>
      </c>
      <c r="D63" s="6" t="e">
        <f t="shared" ref="D63:D100" si="8">B63-C63</f>
        <v>#N/A</v>
      </c>
    </row>
    <row r="64" spans="1:11" x14ac:dyDescent="0.3">
      <c r="A64" t="s">
        <v>35</v>
      </c>
      <c r="B64" s="5">
        <v>6214010364813</v>
      </c>
      <c r="C64" s="6" t="str">
        <f t="shared" si="7"/>
        <v>06214010364813</v>
      </c>
      <c r="D64" s="6">
        <f t="shared" si="8"/>
        <v>0</v>
      </c>
    </row>
    <row r="65" spans="1:4" x14ac:dyDescent="0.3">
      <c r="A65" s="2" t="s">
        <v>142</v>
      </c>
      <c r="B65" s="5">
        <v>12241323870609</v>
      </c>
      <c r="C65" s="6" t="e">
        <f t="shared" si="7"/>
        <v>#N/A</v>
      </c>
      <c r="D65" s="6" t="e">
        <f t="shared" si="8"/>
        <v>#N/A</v>
      </c>
    </row>
    <row r="66" spans="1:4" x14ac:dyDescent="0.3">
      <c r="A66" s="2" t="s">
        <v>20</v>
      </c>
      <c r="B66" s="5">
        <v>6214010342550</v>
      </c>
      <c r="C66" s="6" t="e">
        <f t="shared" si="7"/>
        <v>#N/A</v>
      </c>
      <c r="D66" s="6" t="e">
        <f t="shared" si="8"/>
        <v>#N/A</v>
      </c>
    </row>
    <row r="67" spans="1:4" x14ac:dyDescent="0.3">
      <c r="A67" s="2" t="s">
        <v>27</v>
      </c>
      <c r="B67" s="5">
        <v>82140164204966</v>
      </c>
      <c r="C67" s="6" t="e">
        <f t="shared" si="7"/>
        <v>#N/A</v>
      </c>
      <c r="D67" s="6" t="e">
        <f t="shared" si="8"/>
        <v>#N/A</v>
      </c>
    </row>
    <row r="68" spans="1:4" x14ac:dyDescent="0.3">
      <c r="A68" s="2" t="s">
        <v>44</v>
      </c>
      <c r="B68" s="5">
        <v>82057418887745</v>
      </c>
      <c r="C68" s="6" t="e">
        <f t="shared" si="7"/>
        <v>#N/A</v>
      </c>
      <c r="D68" s="6" t="e">
        <f t="shared" si="8"/>
        <v>#N/A</v>
      </c>
    </row>
    <row r="69" spans="1:4" x14ac:dyDescent="0.3">
      <c r="A69" s="2" t="s">
        <v>18</v>
      </c>
      <c r="B69" s="5">
        <v>12404221502076</v>
      </c>
      <c r="C69" s="6" t="e">
        <f t="shared" si="7"/>
        <v>#N/A</v>
      </c>
      <c r="D69" s="6" t="e">
        <f t="shared" si="8"/>
        <v>#N/A</v>
      </c>
    </row>
    <row r="70" spans="1:4" x14ac:dyDescent="0.3">
      <c r="A70" s="2" t="s">
        <v>219</v>
      </c>
      <c r="B70" s="5">
        <v>82057599646712</v>
      </c>
      <c r="C70" s="6" t="e">
        <f t="shared" si="7"/>
        <v>#N/A</v>
      </c>
      <c r="D70" s="6" t="e">
        <f t="shared" si="8"/>
        <v>#N/A</v>
      </c>
    </row>
    <row r="71" spans="1:4" x14ac:dyDescent="0.3">
      <c r="A71" s="2" t="s">
        <v>24</v>
      </c>
      <c r="B71" s="5">
        <v>182512971569421</v>
      </c>
      <c r="C71" s="6" t="e">
        <f t="shared" si="7"/>
        <v>#N/A</v>
      </c>
      <c r="D71" s="6" t="e">
        <f t="shared" si="8"/>
        <v>#N/A</v>
      </c>
    </row>
    <row r="72" spans="1:4" x14ac:dyDescent="0.3">
      <c r="A72" t="s">
        <v>136</v>
      </c>
      <c r="B72" s="5">
        <v>182182128413</v>
      </c>
      <c r="C72" s="6" t="str">
        <f t="shared" si="7"/>
        <v>182182128413</v>
      </c>
      <c r="D72" s="6">
        <f t="shared" si="8"/>
        <v>0</v>
      </c>
    </row>
    <row r="73" spans="1:4" x14ac:dyDescent="0.3">
      <c r="A73" s="2" t="s">
        <v>259</v>
      </c>
      <c r="B73" s="5">
        <v>32267467482</v>
      </c>
      <c r="C73" s="6" t="e">
        <f t="shared" si="7"/>
        <v>#N/A</v>
      </c>
      <c r="D73" s="6" t="e">
        <f t="shared" si="8"/>
        <v>#N/A</v>
      </c>
    </row>
    <row r="74" spans="1:4" x14ac:dyDescent="0.3">
      <c r="A74" s="2" t="s">
        <v>122</v>
      </c>
      <c r="B74" s="5">
        <v>732066511886</v>
      </c>
      <c r="C74" s="6" t="e">
        <f t="shared" si="7"/>
        <v>#N/A</v>
      </c>
      <c r="D74" s="6" t="e">
        <f t="shared" si="8"/>
        <v>#N/A</v>
      </c>
    </row>
    <row r="75" spans="1:4" x14ac:dyDescent="0.3">
      <c r="A75" s="2" t="s">
        <v>26</v>
      </c>
      <c r="B75" s="5">
        <v>112879453909778</v>
      </c>
      <c r="C75" s="6" t="e">
        <f t="shared" si="7"/>
        <v>#N/A</v>
      </c>
      <c r="D75" s="6" t="e">
        <f t="shared" si="8"/>
        <v>#N/A</v>
      </c>
    </row>
    <row r="76" spans="1:4" x14ac:dyDescent="0.3">
      <c r="A76" s="2" t="s">
        <v>111</v>
      </c>
      <c r="B76" s="5">
        <v>923100306845590</v>
      </c>
      <c r="C76" s="6" t="e">
        <f t="shared" si="7"/>
        <v>#N/A</v>
      </c>
      <c r="D76" s="6" t="e">
        <f t="shared" si="8"/>
        <v>#N/A</v>
      </c>
    </row>
    <row r="77" spans="1:4" x14ac:dyDescent="0.3">
      <c r="A77" s="2" t="s">
        <v>42</v>
      </c>
      <c r="B77" s="5">
        <v>484799481619330</v>
      </c>
      <c r="C77" s="6" t="e">
        <f t="shared" si="7"/>
        <v>#N/A</v>
      </c>
      <c r="D77" s="6" t="e">
        <f t="shared" si="8"/>
        <v>#N/A</v>
      </c>
    </row>
    <row r="78" spans="1:4" x14ac:dyDescent="0.3">
      <c r="A78" s="2" t="s">
        <v>260</v>
      </c>
      <c r="B78" s="5">
        <v>182222231125147</v>
      </c>
      <c r="C78" s="6" t="e">
        <f t="shared" si="7"/>
        <v>#N/A</v>
      </c>
      <c r="D78" s="6" t="e">
        <f t="shared" si="8"/>
        <v>#N/A</v>
      </c>
    </row>
    <row r="79" spans="1:4" x14ac:dyDescent="0.3">
      <c r="A79" s="2" t="s">
        <v>23</v>
      </c>
      <c r="B79" s="5">
        <v>182222303026611</v>
      </c>
      <c r="C79" s="6" t="e">
        <f t="shared" si="7"/>
        <v>#N/A</v>
      </c>
      <c r="D79" s="6" t="e">
        <f t="shared" si="8"/>
        <v>#N/A</v>
      </c>
    </row>
    <row r="80" spans="1:4" x14ac:dyDescent="0.3">
      <c r="A80" s="2" t="s">
        <v>25</v>
      </c>
      <c r="B80" s="5">
        <v>182182018877951</v>
      </c>
      <c r="C80" s="6" t="e">
        <f t="shared" si="7"/>
        <v>#N/A</v>
      </c>
      <c r="D80" s="6" t="e">
        <f t="shared" si="8"/>
        <v>#N/A</v>
      </c>
    </row>
    <row r="81" spans="1:6" x14ac:dyDescent="0.3">
      <c r="A81" s="2" t="s">
        <v>261</v>
      </c>
      <c r="B81" s="5">
        <v>6221710922105</v>
      </c>
      <c r="C81" s="6" t="e">
        <f t="shared" si="7"/>
        <v>#N/A</v>
      </c>
      <c r="D81" s="6" t="e">
        <f t="shared" si="8"/>
        <v>#N/A</v>
      </c>
    </row>
    <row r="82" spans="1:6" x14ac:dyDescent="0.3">
      <c r="A82" s="2" t="s">
        <v>13</v>
      </c>
      <c r="B82" s="5">
        <v>812170189780</v>
      </c>
      <c r="C82" s="6" t="e">
        <f t="shared" si="7"/>
        <v>#N/A</v>
      </c>
      <c r="D82" s="6" t="e">
        <f t="shared" si="8"/>
        <v>#N/A</v>
      </c>
    </row>
    <row r="83" spans="1:6" x14ac:dyDescent="0.3">
      <c r="A83" s="2" t="s">
        <v>106</v>
      </c>
      <c r="B83" s="5">
        <v>82055675776296</v>
      </c>
      <c r="C83" s="6" t="e">
        <f t="shared" si="7"/>
        <v>#N/A</v>
      </c>
      <c r="D83" s="6" t="e">
        <f t="shared" si="8"/>
        <v>#N/A</v>
      </c>
    </row>
    <row r="84" spans="1:6" x14ac:dyDescent="0.3">
      <c r="A84" s="2" t="s">
        <v>22</v>
      </c>
      <c r="B84" s="5">
        <v>923100306845590</v>
      </c>
      <c r="C84" s="6" t="e">
        <f t="shared" si="7"/>
        <v>#N/A</v>
      </c>
      <c r="D84" s="6" t="e">
        <f t="shared" si="8"/>
        <v>#N/A</v>
      </c>
    </row>
    <row r="85" spans="1:6" x14ac:dyDescent="0.3">
      <c r="A85" t="s">
        <v>28</v>
      </c>
      <c r="B85" s="5">
        <v>732143543946</v>
      </c>
      <c r="C85" s="6" t="str">
        <f t="shared" si="7"/>
        <v>732143543946</v>
      </c>
      <c r="D85" s="6">
        <f t="shared" si="8"/>
        <v>0</v>
      </c>
    </row>
    <row r="86" spans="1:6" x14ac:dyDescent="0.3">
      <c r="A86" s="2" t="s">
        <v>116</v>
      </c>
      <c r="B86" s="5">
        <v>484799121995294</v>
      </c>
      <c r="C86" s="6" t="e">
        <f t="shared" si="7"/>
        <v>#N/A</v>
      </c>
      <c r="D86" s="6" t="e">
        <f t="shared" si="8"/>
        <v>#N/A</v>
      </c>
    </row>
    <row r="87" spans="1:6" x14ac:dyDescent="0.3">
      <c r="A87" s="2" t="s">
        <v>130</v>
      </c>
      <c r="B87" s="5">
        <v>484799121995235</v>
      </c>
      <c r="C87" s="6" t="e">
        <f t="shared" si="7"/>
        <v>#N/A</v>
      </c>
      <c r="D87" s="6" t="e">
        <f t="shared" si="8"/>
        <v>#N/A</v>
      </c>
    </row>
    <row r="88" spans="1:6" x14ac:dyDescent="0.3">
      <c r="A88" s="2" t="s">
        <v>43</v>
      </c>
      <c r="B88" s="5">
        <v>82798205490656</v>
      </c>
      <c r="C88" s="6" t="e">
        <f t="shared" si="7"/>
        <v>#N/A</v>
      </c>
      <c r="D88" s="6" t="e">
        <f t="shared" si="8"/>
        <v>#N/A</v>
      </c>
    </row>
    <row r="89" spans="1:6" x14ac:dyDescent="0.3">
      <c r="A89" s="2" t="s">
        <v>262</v>
      </c>
      <c r="B89" s="5">
        <v>33364015140</v>
      </c>
      <c r="C89" s="6" t="e">
        <f t="shared" ref="C89:C100" si="9">VLOOKUP(A89,F:J,5,FALSE)</f>
        <v>#N/A</v>
      </c>
      <c r="D89" s="6" t="e">
        <f t="shared" si="8"/>
        <v>#N/A</v>
      </c>
    </row>
    <row r="90" spans="1:6" x14ac:dyDescent="0.3">
      <c r="A90" s="2" t="s">
        <v>3</v>
      </c>
      <c r="B90" s="5">
        <v>12291282250074</v>
      </c>
      <c r="C90" s="6" t="e">
        <f t="shared" si="9"/>
        <v>#N/A</v>
      </c>
      <c r="D90" s="6" t="e">
        <f t="shared" si="8"/>
        <v>#N/A</v>
      </c>
    </row>
    <row r="91" spans="1:6" x14ac:dyDescent="0.3">
      <c r="A91" t="s">
        <v>129</v>
      </c>
      <c r="B91" s="5">
        <v>12291295421696</v>
      </c>
      <c r="C91" s="6" t="str">
        <f t="shared" si="9"/>
        <v>012291295421696</v>
      </c>
      <c r="D91" s="6">
        <f t="shared" si="8"/>
        <v>0</v>
      </c>
      <c r="F91" s="1"/>
    </row>
    <row r="92" spans="1:6" x14ac:dyDescent="0.3">
      <c r="A92" t="s">
        <v>148</v>
      </c>
      <c r="B92" s="5">
        <v>939200725348617</v>
      </c>
      <c r="C92" s="6" t="str">
        <f t="shared" si="9"/>
        <v>012291282250074</v>
      </c>
      <c r="D92" s="6">
        <f t="shared" si="8"/>
        <v>926909443098543</v>
      </c>
    </row>
    <row r="93" spans="1:6" x14ac:dyDescent="0.3">
      <c r="A93" s="2" t="s">
        <v>19</v>
      </c>
      <c r="B93" s="5">
        <v>6219010676975</v>
      </c>
      <c r="C93" s="6" t="e">
        <f t="shared" si="9"/>
        <v>#N/A</v>
      </c>
      <c r="D93" s="6" t="e">
        <f t="shared" si="8"/>
        <v>#N/A</v>
      </c>
    </row>
    <row r="94" spans="1:6" x14ac:dyDescent="0.3">
      <c r="A94" s="2" t="s">
        <v>39</v>
      </c>
      <c r="B94" s="5">
        <v>812170145800</v>
      </c>
      <c r="C94" s="6" t="e">
        <f t="shared" si="9"/>
        <v>#N/A</v>
      </c>
      <c r="D94" s="6" t="e">
        <f t="shared" si="8"/>
        <v>#N/A</v>
      </c>
    </row>
    <row r="95" spans="1:6" x14ac:dyDescent="0.3">
      <c r="A95" t="s">
        <v>0</v>
      </c>
      <c r="B95" s="5">
        <v>32267436344</v>
      </c>
      <c r="C95" s="6" t="str">
        <f t="shared" si="9"/>
        <v>032267436344</v>
      </c>
      <c r="D95" s="6">
        <f t="shared" si="8"/>
        <v>0</v>
      </c>
    </row>
    <row r="96" spans="1:6" x14ac:dyDescent="0.3">
      <c r="A96" s="2" t="s">
        <v>127</v>
      </c>
      <c r="B96" s="5">
        <v>6716717851922</v>
      </c>
      <c r="C96" s="6" t="e">
        <f t="shared" si="9"/>
        <v>#N/A</v>
      </c>
      <c r="D96" s="6" t="e">
        <f t="shared" si="8"/>
        <v>#N/A</v>
      </c>
    </row>
    <row r="97" spans="1:4" x14ac:dyDescent="0.3">
      <c r="A97" s="2" t="s">
        <v>135</v>
      </c>
      <c r="B97" s="5">
        <v>32075457968</v>
      </c>
      <c r="C97" s="6" t="e">
        <f t="shared" si="9"/>
        <v>#N/A</v>
      </c>
      <c r="D97" s="6" t="e">
        <f t="shared" si="8"/>
        <v>#N/A</v>
      </c>
    </row>
    <row r="98" spans="1:4" x14ac:dyDescent="0.3">
      <c r="A98" s="2" t="s">
        <v>263</v>
      </c>
      <c r="B98" s="5" t="s">
        <v>264</v>
      </c>
      <c r="C98" s="6" t="e">
        <f t="shared" si="9"/>
        <v>#N/A</v>
      </c>
      <c r="D98" s="6" t="e">
        <f t="shared" si="8"/>
        <v>#VALUE!</v>
      </c>
    </row>
    <row r="99" spans="1:4" x14ac:dyDescent="0.3">
      <c r="A99" s="2" t="s">
        <v>37</v>
      </c>
      <c r="B99" s="5">
        <v>112879495657185</v>
      </c>
      <c r="C99" s="6" t="e">
        <f t="shared" si="9"/>
        <v>#N/A</v>
      </c>
      <c r="D99" s="6" t="e">
        <f t="shared" si="8"/>
        <v>#N/A</v>
      </c>
    </row>
    <row r="100" spans="1:4" x14ac:dyDescent="0.3">
      <c r="A100" s="2" t="s">
        <v>251</v>
      </c>
      <c r="B100" s="5">
        <v>86805332093004</v>
      </c>
      <c r="C100" s="6" t="e">
        <f t="shared" si="9"/>
        <v>#N/A</v>
      </c>
      <c r="D100" s="6" t="e">
        <f t="shared" si="8"/>
        <v>#N/A</v>
      </c>
    </row>
  </sheetData>
  <autoFilter ref="A1:D108" xr:uid="{24408FFB-ACE6-4100-8293-C17CA12E2EFA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60F2C-1F5E-455A-BCC6-FCD7F15A5906}">
  <sheetPr codeName="Sheet3">
    <tabColor rgb="FFFFFF00"/>
  </sheetPr>
  <dimension ref="A1:Y531"/>
  <sheetViews>
    <sheetView topLeftCell="A7" workbookViewId="0">
      <selection sqref="A1:Z532"/>
    </sheetView>
  </sheetViews>
  <sheetFormatPr defaultRowHeight="14.4" x14ac:dyDescent="0.3"/>
  <sheetData>
    <row r="1" spans="1:25" ht="11.25" customHeight="1" x14ac:dyDescent="0.3">
      <c r="A1" t="s">
        <v>331</v>
      </c>
      <c r="F1" t="s">
        <v>332</v>
      </c>
      <c r="N1" t="s">
        <v>333</v>
      </c>
      <c r="W1">
        <v>479426.7</v>
      </c>
    </row>
    <row r="2" spans="1:25" ht="11.25" customHeight="1" x14ac:dyDescent="0.3">
      <c r="A2" t="s">
        <v>334</v>
      </c>
      <c r="F2" t="s">
        <v>335</v>
      </c>
      <c r="N2" t="s">
        <v>336</v>
      </c>
      <c r="W2">
        <v>558660.78</v>
      </c>
    </row>
    <row r="3" spans="1:25" ht="11.25" customHeight="1" x14ac:dyDescent="0.3">
      <c r="A3" t="s">
        <v>337</v>
      </c>
      <c r="F3">
        <v>45412</v>
      </c>
      <c r="N3" t="s">
        <v>338</v>
      </c>
      <c r="W3">
        <v>-79234.080000000002</v>
      </c>
    </row>
    <row r="4" spans="1:25" ht="11.25" customHeight="1" x14ac:dyDescent="0.3">
      <c r="N4" t="s">
        <v>339</v>
      </c>
      <c r="W4">
        <v>0</v>
      </c>
    </row>
    <row r="5" spans="1:25" ht="15.45" customHeight="1" x14ac:dyDescent="0.3"/>
    <row r="6" spans="1:25" ht="11.25" customHeight="1" x14ac:dyDescent="0.3">
      <c r="B6" t="s">
        <v>642</v>
      </c>
    </row>
    <row r="7" spans="1:25" ht="22.5" customHeight="1" x14ac:dyDescent="0.3"/>
    <row r="8" spans="1:25" ht="13.05" customHeight="1" x14ac:dyDescent="0.3">
      <c r="A8" t="s">
        <v>340</v>
      </c>
      <c r="I8" t="s">
        <v>341</v>
      </c>
      <c r="M8" t="s">
        <v>342</v>
      </c>
      <c r="R8" t="s">
        <v>343</v>
      </c>
      <c r="T8" t="s">
        <v>344</v>
      </c>
      <c r="V8" t="s">
        <v>345</v>
      </c>
      <c r="Y8" t="s">
        <v>346</v>
      </c>
    </row>
    <row r="9" spans="1:25" ht="12" customHeight="1" x14ac:dyDescent="0.3">
      <c r="A9">
        <v>1036</v>
      </c>
      <c r="I9" t="s">
        <v>347</v>
      </c>
      <c r="M9">
        <v>0</v>
      </c>
      <c r="R9">
        <v>204.74</v>
      </c>
      <c r="T9">
        <v>-204.74</v>
      </c>
      <c r="V9">
        <v>0</v>
      </c>
    </row>
    <row r="10" spans="1:25" ht="12" customHeight="1" x14ac:dyDescent="0.3">
      <c r="A10">
        <v>1067</v>
      </c>
      <c r="I10" t="s">
        <v>347</v>
      </c>
      <c r="M10">
        <v>0</v>
      </c>
      <c r="R10">
        <v>737.07</v>
      </c>
      <c r="T10">
        <v>-737.07</v>
      </c>
      <c r="V10">
        <v>0</v>
      </c>
    </row>
    <row r="11" spans="1:25" ht="12" customHeight="1" x14ac:dyDescent="0.3">
      <c r="A11">
        <v>1091</v>
      </c>
      <c r="I11" t="s">
        <v>347</v>
      </c>
      <c r="M11">
        <v>0</v>
      </c>
      <c r="R11">
        <v>368.54</v>
      </c>
      <c r="T11">
        <v>-368.54</v>
      </c>
      <c r="V11">
        <v>0</v>
      </c>
    </row>
    <row r="12" spans="1:25" ht="12" customHeight="1" x14ac:dyDescent="0.3">
      <c r="A12">
        <v>1115</v>
      </c>
      <c r="I12" t="s">
        <v>347</v>
      </c>
      <c r="M12">
        <v>0</v>
      </c>
      <c r="R12">
        <v>122.85</v>
      </c>
      <c r="T12">
        <v>-122.85</v>
      </c>
      <c r="V12">
        <v>0</v>
      </c>
    </row>
    <row r="13" spans="1:25" ht="12" customHeight="1" x14ac:dyDescent="0.3">
      <c r="A13">
        <v>1119</v>
      </c>
      <c r="I13" t="s">
        <v>347</v>
      </c>
      <c r="M13">
        <v>0</v>
      </c>
      <c r="R13">
        <v>81.900000000000006</v>
      </c>
      <c r="T13">
        <v>-81.900000000000006</v>
      </c>
      <c r="V13">
        <v>0</v>
      </c>
    </row>
    <row r="14" spans="1:25" ht="12" customHeight="1" x14ac:dyDescent="0.3">
      <c r="A14">
        <v>1130</v>
      </c>
      <c r="I14" t="s">
        <v>347</v>
      </c>
      <c r="M14">
        <v>0</v>
      </c>
      <c r="R14">
        <v>122.85</v>
      </c>
      <c r="T14">
        <v>-122.85</v>
      </c>
      <c r="V14">
        <v>0</v>
      </c>
    </row>
    <row r="15" spans="1:25" ht="12" customHeight="1" x14ac:dyDescent="0.3">
      <c r="A15">
        <v>1136</v>
      </c>
      <c r="I15" t="s">
        <v>347</v>
      </c>
      <c r="M15">
        <v>0</v>
      </c>
      <c r="R15">
        <v>81.900000000000006</v>
      </c>
      <c r="T15">
        <v>-81.900000000000006</v>
      </c>
      <c r="V15">
        <v>0</v>
      </c>
    </row>
    <row r="16" spans="1:25" ht="12" customHeight="1" x14ac:dyDescent="0.3">
      <c r="A16">
        <v>1158</v>
      </c>
      <c r="I16" t="s">
        <v>347</v>
      </c>
      <c r="M16">
        <v>0</v>
      </c>
      <c r="R16">
        <v>327.58999999999997</v>
      </c>
      <c r="T16">
        <v>-327.58999999999997</v>
      </c>
      <c r="V16">
        <v>0</v>
      </c>
    </row>
    <row r="17" spans="1:25" ht="12" customHeight="1" x14ac:dyDescent="0.3">
      <c r="A17">
        <v>1184</v>
      </c>
      <c r="I17" t="s">
        <v>347</v>
      </c>
      <c r="M17">
        <v>0</v>
      </c>
      <c r="R17">
        <v>81.900000000000006</v>
      </c>
      <c r="T17">
        <v>-81.900000000000006</v>
      </c>
      <c r="V17">
        <v>0</v>
      </c>
    </row>
    <row r="18" spans="1:25" ht="12" customHeight="1" x14ac:dyDescent="0.3">
      <c r="A18">
        <v>1248</v>
      </c>
      <c r="I18" t="s">
        <v>347</v>
      </c>
      <c r="M18">
        <v>0</v>
      </c>
      <c r="R18">
        <v>71.28</v>
      </c>
      <c r="T18">
        <v>-71.28</v>
      </c>
      <c r="V18">
        <v>0</v>
      </c>
    </row>
    <row r="19" spans="1:25" ht="12" customHeight="1" x14ac:dyDescent="0.3">
      <c r="A19">
        <v>1256</v>
      </c>
      <c r="I19" t="s">
        <v>347</v>
      </c>
      <c r="M19">
        <v>0</v>
      </c>
      <c r="R19">
        <v>78.739999999999995</v>
      </c>
      <c r="T19">
        <v>-78.739999999999995</v>
      </c>
      <c r="V19">
        <v>0</v>
      </c>
    </row>
    <row r="20" spans="1:25" ht="15" customHeight="1" x14ac:dyDescent="0.3">
      <c r="A20">
        <v>1265</v>
      </c>
      <c r="I20" t="s">
        <v>347</v>
      </c>
      <c r="M20">
        <v>0</v>
      </c>
      <c r="R20">
        <v>109.43</v>
      </c>
      <c r="T20">
        <v>-109.43</v>
      </c>
      <c r="V20">
        <v>0</v>
      </c>
    </row>
    <row r="21" spans="1:25" ht="18" customHeight="1" x14ac:dyDescent="0.3">
      <c r="A21">
        <v>1267</v>
      </c>
      <c r="I21" t="s">
        <v>347</v>
      </c>
      <c r="M21">
        <v>0</v>
      </c>
      <c r="R21">
        <v>100.92</v>
      </c>
      <c r="T21">
        <v>-100.92</v>
      </c>
      <c r="V21">
        <v>0</v>
      </c>
    </row>
    <row r="22" spans="1:25" ht="11.25" customHeight="1" x14ac:dyDescent="0.3">
      <c r="M22">
        <v>0</v>
      </c>
      <c r="R22">
        <v>2489.71</v>
      </c>
      <c r="T22">
        <v>-2489.71</v>
      </c>
      <c r="V22">
        <v>0</v>
      </c>
    </row>
    <row r="23" spans="1:25" ht="25.95" customHeight="1" x14ac:dyDescent="0.3">
      <c r="A23" t="s">
        <v>348</v>
      </c>
    </row>
    <row r="24" spans="1:25" ht="15" customHeight="1" x14ac:dyDescent="0.3">
      <c r="C24" t="s">
        <v>340</v>
      </c>
      <c r="J24" t="s">
        <v>341</v>
      </c>
      <c r="L24" t="s">
        <v>342</v>
      </c>
      <c r="Q24" t="s">
        <v>343</v>
      </c>
      <c r="S24" t="s">
        <v>344</v>
      </c>
      <c r="U24" t="s">
        <v>345</v>
      </c>
      <c r="X24" t="s">
        <v>346</v>
      </c>
    </row>
    <row r="25" spans="1:25" ht="18" customHeight="1" x14ac:dyDescent="0.3">
      <c r="A25">
        <v>1068</v>
      </c>
      <c r="I25" t="s">
        <v>347</v>
      </c>
      <c r="M25">
        <v>1315.07</v>
      </c>
      <c r="R25">
        <v>1315.07</v>
      </c>
      <c r="T25">
        <v>0</v>
      </c>
      <c r="V25">
        <v>0</v>
      </c>
    </row>
    <row r="26" spans="1:25" ht="12" customHeight="1" x14ac:dyDescent="0.3">
      <c r="M26">
        <v>1315.07</v>
      </c>
      <c r="R26">
        <v>1315.07</v>
      </c>
      <c r="T26">
        <v>0</v>
      </c>
      <c r="V26">
        <v>0</v>
      </c>
    </row>
    <row r="27" spans="1:25" ht="25.05" customHeight="1" x14ac:dyDescent="0.3">
      <c r="A27" t="s">
        <v>349</v>
      </c>
      <c r="H27" t="s">
        <v>350</v>
      </c>
    </row>
    <row r="28" spans="1:25" ht="13.05" customHeight="1" x14ac:dyDescent="0.3">
      <c r="A28" t="s">
        <v>340</v>
      </c>
      <c r="I28" t="s">
        <v>341</v>
      </c>
      <c r="M28" t="s">
        <v>342</v>
      </c>
      <c r="R28" t="s">
        <v>343</v>
      </c>
      <c r="T28" t="s">
        <v>344</v>
      </c>
      <c r="V28" t="s">
        <v>345</v>
      </c>
      <c r="Y28" t="s">
        <v>346</v>
      </c>
    </row>
    <row r="29" spans="1:25" ht="15" customHeight="1" x14ac:dyDescent="0.3">
      <c r="A29">
        <v>1105</v>
      </c>
      <c r="I29" t="s">
        <v>347</v>
      </c>
      <c r="M29">
        <v>3821.92</v>
      </c>
      <c r="R29">
        <v>3821.92</v>
      </c>
      <c r="T29">
        <v>0</v>
      </c>
      <c r="V29">
        <v>0</v>
      </c>
    </row>
    <row r="30" spans="1:25" ht="18" customHeight="1" x14ac:dyDescent="0.3">
      <c r="A30">
        <v>1243</v>
      </c>
      <c r="I30" t="s">
        <v>347</v>
      </c>
      <c r="M30">
        <v>1223.01</v>
      </c>
      <c r="R30">
        <v>1223.01</v>
      </c>
      <c r="T30">
        <v>0</v>
      </c>
      <c r="V30">
        <v>0</v>
      </c>
    </row>
    <row r="31" spans="1:25" ht="11.25" customHeight="1" x14ac:dyDescent="0.3">
      <c r="M31">
        <v>5044.93</v>
      </c>
      <c r="R31">
        <v>5044.93</v>
      </c>
      <c r="T31">
        <v>0</v>
      </c>
      <c r="V31">
        <v>0</v>
      </c>
    </row>
    <row r="32" spans="1:25" ht="25.95" customHeight="1" x14ac:dyDescent="0.3">
      <c r="A32" t="s">
        <v>351</v>
      </c>
    </row>
    <row r="33" spans="1:25" ht="13.05" customHeight="1" x14ac:dyDescent="0.3">
      <c r="C33" t="s">
        <v>340</v>
      </c>
      <c r="J33" t="s">
        <v>341</v>
      </c>
      <c r="L33" t="s">
        <v>342</v>
      </c>
      <c r="Q33" t="s">
        <v>343</v>
      </c>
      <c r="S33" t="s">
        <v>344</v>
      </c>
      <c r="U33" t="s">
        <v>345</v>
      </c>
      <c r="X33" t="s">
        <v>346</v>
      </c>
    </row>
    <row r="34" spans="1:25" ht="12" customHeight="1" x14ac:dyDescent="0.3">
      <c r="A34">
        <v>1071</v>
      </c>
      <c r="E34" t="s">
        <v>347</v>
      </c>
      <c r="M34">
        <v>3287.67</v>
      </c>
      <c r="R34">
        <v>3287.67</v>
      </c>
      <c r="T34">
        <v>0</v>
      </c>
      <c r="V34">
        <v>0</v>
      </c>
    </row>
    <row r="35" spans="1:25" ht="12" customHeight="1" x14ac:dyDescent="0.3">
      <c r="A35">
        <v>1088</v>
      </c>
      <c r="E35" t="s">
        <v>347</v>
      </c>
      <c r="M35">
        <v>0</v>
      </c>
      <c r="R35">
        <v>2438.13</v>
      </c>
      <c r="T35">
        <v>-2438.13</v>
      </c>
      <c r="V35">
        <v>0</v>
      </c>
    </row>
    <row r="36" spans="1:25" ht="12" customHeight="1" x14ac:dyDescent="0.3">
      <c r="A36">
        <v>1104</v>
      </c>
      <c r="E36" t="s">
        <v>347</v>
      </c>
      <c r="M36">
        <v>0</v>
      </c>
      <c r="R36">
        <v>2031.78</v>
      </c>
      <c r="T36">
        <v>-2031.78</v>
      </c>
      <c r="V36">
        <v>0</v>
      </c>
    </row>
    <row r="37" spans="1:25" ht="12" customHeight="1" x14ac:dyDescent="0.3">
      <c r="A37">
        <v>1169</v>
      </c>
      <c r="E37" t="s">
        <v>347</v>
      </c>
      <c r="M37">
        <v>0</v>
      </c>
      <c r="R37">
        <v>8127.1</v>
      </c>
      <c r="T37">
        <v>-8127.1</v>
      </c>
      <c r="V37">
        <v>0</v>
      </c>
    </row>
    <row r="38" spans="1:25" ht="13.95" customHeight="1" x14ac:dyDescent="0.3">
      <c r="A38">
        <v>1212</v>
      </c>
      <c r="E38" t="s">
        <v>347</v>
      </c>
      <c r="M38">
        <v>0</v>
      </c>
      <c r="R38">
        <v>5688.97</v>
      </c>
      <c r="T38">
        <v>-5688.97</v>
      </c>
      <c r="V38">
        <v>0</v>
      </c>
    </row>
    <row r="39" spans="1:25" ht="18" customHeight="1" x14ac:dyDescent="0.3">
      <c r="A39">
        <v>1237</v>
      </c>
      <c r="E39" t="s">
        <v>347</v>
      </c>
      <c r="M39">
        <v>5732.88</v>
      </c>
      <c r="R39">
        <v>5732.88</v>
      </c>
      <c r="T39">
        <v>0</v>
      </c>
      <c r="V39">
        <v>0</v>
      </c>
    </row>
    <row r="40" spans="1:25" ht="11.25" customHeight="1" x14ac:dyDescent="0.3">
      <c r="M40">
        <v>9020.5499999999993</v>
      </c>
      <c r="R40">
        <v>27306.53</v>
      </c>
      <c r="T40">
        <v>-18285.98</v>
      </c>
      <c r="V40">
        <v>0</v>
      </c>
    </row>
    <row r="41" spans="1:25" ht="25.95" customHeight="1" x14ac:dyDescent="0.3">
      <c r="A41">
        <v>1009</v>
      </c>
      <c r="E41" t="s">
        <v>352</v>
      </c>
    </row>
    <row r="42" spans="1:25" ht="13.05" customHeight="1" x14ac:dyDescent="0.3">
      <c r="A42" t="s">
        <v>340</v>
      </c>
      <c r="I42" t="s">
        <v>341</v>
      </c>
      <c r="M42" t="s">
        <v>342</v>
      </c>
      <c r="R42" t="s">
        <v>343</v>
      </c>
      <c r="T42" t="s">
        <v>344</v>
      </c>
      <c r="V42" t="s">
        <v>345</v>
      </c>
      <c r="Y42" t="s">
        <v>346</v>
      </c>
    </row>
    <row r="43" spans="1:25" ht="12" customHeight="1" x14ac:dyDescent="0.3">
      <c r="A43">
        <v>1077</v>
      </c>
      <c r="I43" t="s">
        <v>347</v>
      </c>
      <c r="M43">
        <v>657.53</v>
      </c>
      <c r="R43">
        <v>657.53</v>
      </c>
      <c r="T43">
        <v>0</v>
      </c>
      <c r="V43">
        <v>0</v>
      </c>
    </row>
    <row r="44" spans="1:25" ht="15" customHeight="1" x14ac:dyDescent="0.3">
      <c r="A44">
        <v>1151</v>
      </c>
      <c r="I44" t="s">
        <v>347</v>
      </c>
      <c r="M44">
        <v>657.53</v>
      </c>
      <c r="R44">
        <v>657.53</v>
      </c>
      <c r="T44">
        <v>0</v>
      </c>
      <c r="V44">
        <v>0</v>
      </c>
    </row>
    <row r="45" spans="1:25" ht="11.25" customHeight="1" x14ac:dyDescent="0.3">
      <c r="A45">
        <v>1296</v>
      </c>
      <c r="I45" t="s">
        <v>353</v>
      </c>
      <c r="M45">
        <v>151.22999999999999</v>
      </c>
      <c r="R45">
        <v>151.22999999999999</v>
      </c>
      <c r="T45">
        <v>0</v>
      </c>
      <c r="V45">
        <v>0</v>
      </c>
    </row>
    <row r="46" spans="1:25" ht="11.25" customHeight="1" x14ac:dyDescent="0.3">
      <c r="M46">
        <v>1466.29</v>
      </c>
      <c r="R46">
        <v>1466.29</v>
      </c>
      <c r="T46">
        <v>0</v>
      </c>
      <c r="V46">
        <v>0</v>
      </c>
    </row>
    <row r="47" spans="1:25" ht="6" customHeight="1" x14ac:dyDescent="0.3">
      <c r="B47" t="s">
        <v>354</v>
      </c>
    </row>
    <row r="48" spans="1:25" ht="35.549999999999997" customHeight="1" x14ac:dyDescent="0.3"/>
    <row r="49" spans="1:25" ht="18" customHeight="1" x14ac:dyDescent="0.3">
      <c r="A49" t="s">
        <v>355</v>
      </c>
      <c r="I49" t="s">
        <v>356</v>
      </c>
      <c r="M49" t="s">
        <v>357</v>
      </c>
      <c r="R49" t="s">
        <v>358</v>
      </c>
      <c r="T49" t="s">
        <v>359</v>
      </c>
      <c r="V49" t="s">
        <v>360</v>
      </c>
      <c r="Y49" t="s">
        <v>346</v>
      </c>
    </row>
    <row r="50" spans="1:25" ht="11.25" customHeight="1" x14ac:dyDescent="0.3">
      <c r="M50">
        <v>986.3</v>
      </c>
      <c r="R50">
        <v>986.3</v>
      </c>
      <c r="T50">
        <v>0</v>
      </c>
      <c r="V50">
        <v>0</v>
      </c>
    </row>
    <row r="51" spans="1:25" ht="25.95" customHeight="1" x14ac:dyDescent="0.3">
      <c r="A51">
        <v>1011</v>
      </c>
      <c r="C51" t="s">
        <v>361</v>
      </c>
    </row>
    <row r="52" spans="1:25" ht="16.05" customHeight="1" x14ac:dyDescent="0.3">
      <c r="C52" t="s">
        <v>340</v>
      </c>
      <c r="K52" t="s">
        <v>341</v>
      </c>
      <c r="L52" t="s">
        <v>342</v>
      </c>
      <c r="Q52" t="s">
        <v>343</v>
      </c>
      <c r="S52" t="s">
        <v>344</v>
      </c>
      <c r="U52" t="s">
        <v>345</v>
      </c>
      <c r="X52" t="s">
        <v>346</v>
      </c>
    </row>
    <row r="53" spans="1:25" ht="18" customHeight="1" x14ac:dyDescent="0.3">
      <c r="A53">
        <v>1178</v>
      </c>
      <c r="G53" t="s">
        <v>347</v>
      </c>
      <c r="M53">
        <v>33863.01</v>
      </c>
      <c r="R53">
        <v>33863.01</v>
      </c>
      <c r="T53">
        <v>0</v>
      </c>
      <c r="V53">
        <v>0</v>
      </c>
    </row>
    <row r="54" spans="1:25" ht="11.25" customHeight="1" x14ac:dyDescent="0.3">
      <c r="M54">
        <v>33863.01</v>
      </c>
      <c r="R54">
        <v>33863.01</v>
      </c>
      <c r="T54">
        <v>0</v>
      </c>
      <c r="V54">
        <v>0</v>
      </c>
    </row>
    <row r="55" spans="1:25" ht="25.05" customHeight="1" x14ac:dyDescent="0.3">
      <c r="A55" t="s">
        <v>362</v>
      </c>
      <c r="G55" t="s">
        <v>363</v>
      </c>
    </row>
    <row r="56" spans="1:25" ht="13.95" customHeight="1" x14ac:dyDescent="0.3">
      <c r="A56" t="s">
        <v>340</v>
      </c>
      <c r="G56" t="s">
        <v>341</v>
      </c>
      <c r="M56" t="s">
        <v>342</v>
      </c>
      <c r="R56" t="s">
        <v>343</v>
      </c>
      <c r="T56" t="s">
        <v>344</v>
      </c>
      <c r="V56" t="s">
        <v>345</v>
      </c>
      <c r="Y56" t="s">
        <v>346</v>
      </c>
    </row>
    <row r="57" spans="1:25" ht="13.95" customHeight="1" x14ac:dyDescent="0.3">
      <c r="A57">
        <v>1079</v>
      </c>
      <c r="G57" t="s">
        <v>347</v>
      </c>
      <c r="M57">
        <v>1910.96</v>
      </c>
      <c r="R57">
        <v>1910.96</v>
      </c>
      <c r="T57">
        <v>0</v>
      </c>
      <c r="V57">
        <v>0</v>
      </c>
    </row>
    <row r="58" spans="1:25" ht="18" customHeight="1" x14ac:dyDescent="0.3">
      <c r="A58">
        <v>1173</v>
      </c>
      <c r="G58" t="s">
        <v>347</v>
      </c>
      <c r="M58">
        <v>4586.3</v>
      </c>
      <c r="R58">
        <v>4586.3</v>
      </c>
      <c r="T58">
        <v>0</v>
      </c>
      <c r="V58">
        <v>0</v>
      </c>
    </row>
    <row r="59" spans="1:25" ht="11.25" customHeight="1" x14ac:dyDescent="0.3">
      <c r="M59">
        <v>6497.26</v>
      </c>
      <c r="R59">
        <v>6497.26</v>
      </c>
      <c r="T59">
        <v>0</v>
      </c>
      <c r="V59">
        <v>0</v>
      </c>
    </row>
    <row r="60" spans="1:25" ht="25.95" customHeight="1" x14ac:dyDescent="0.3">
      <c r="A60" t="s">
        <v>364</v>
      </c>
    </row>
    <row r="61" spans="1:25" ht="16.05" customHeight="1" x14ac:dyDescent="0.3">
      <c r="A61" t="s">
        <v>365</v>
      </c>
      <c r="N61" t="s">
        <v>342</v>
      </c>
      <c r="R61" t="s">
        <v>343</v>
      </c>
      <c r="T61" t="s">
        <v>344</v>
      </c>
      <c r="V61" t="s">
        <v>345</v>
      </c>
      <c r="Y61" t="s">
        <v>346</v>
      </c>
    </row>
    <row r="62" spans="1:25" ht="18" customHeight="1" x14ac:dyDescent="0.3">
      <c r="A62" t="s">
        <v>366</v>
      </c>
      <c r="N62">
        <v>1972.6</v>
      </c>
      <c r="R62">
        <v>1972.6</v>
      </c>
      <c r="T62">
        <v>0</v>
      </c>
      <c r="V62">
        <v>0</v>
      </c>
    </row>
    <row r="63" spans="1:25" ht="11.25" customHeight="1" x14ac:dyDescent="0.3">
      <c r="N63">
        <v>1972.6</v>
      </c>
      <c r="R63">
        <v>1972.6</v>
      </c>
      <c r="T63">
        <v>0</v>
      </c>
      <c r="V63">
        <v>0</v>
      </c>
    </row>
    <row r="64" spans="1:25" ht="25.05" customHeight="1" x14ac:dyDescent="0.3">
      <c r="A64" t="s">
        <v>367</v>
      </c>
      <c r="N64" t="s">
        <v>368</v>
      </c>
    </row>
    <row r="65" spans="1:25" ht="13.95" customHeight="1" x14ac:dyDescent="0.3">
      <c r="A65" t="s">
        <v>365</v>
      </c>
      <c r="N65" t="s">
        <v>342</v>
      </c>
      <c r="R65" t="s">
        <v>343</v>
      </c>
      <c r="T65" t="s">
        <v>344</v>
      </c>
      <c r="V65" t="s">
        <v>345</v>
      </c>
      <c r="Y65" t="s">
        <v>346</v>
      </c>
    </row>
    <row r="66" spans="1:25" ht="13.95" customHeight="1" x14ac:dyDescent="0.3">
      <c r="A66" t="s">
        <v>369</v>
      </c>
      <c r="N66">
        <v>1114.73</v>
      </c>
      <c r="R66">
        <v>1114.73</v>
      </c>
      <c r="T66">
        <v>0</v>
      </c>
      <c r="V66">
        <v>0</v>
      </c>
    </row>
    <row r="67" spans="1:25" ht="18" customHeight="1" x14ac:dyDescent="0.3">
      <c r="A67" t="s">
        <v>370</v>
      </c>
      <c r="N67">
        <v>143.84</v>
      </c>
      <c r="R67">
        <v>143.84</v>
      </c>
      <c r="T67">
        <v>0</v>
      </c>
      <c r="V67">
        <v>0</v>
      </c>
    </row>
    <row r="68" spans="1:25" ht="11.25" customHeight="1" x14ac:dyDescent="0.3">
      <c r="N68">
        <v>1258.57</v>
      </c>
      <c r="R68">
        <v>1258.57</v>
      </c>
      <c r="T68">
        <v>0</v>
      </c>
      <c r="V68">
        <v>0</v>
      </c>
    </row>
    <row r="69" spans="1:25" ht="25.95" customHeight="1" x14ac:dyDescent="0.3">
      <c r="A69" t="s">
        <v>371</v>
      </c>
    </row>
    <row r="70" spans="1:25" ht="16.05" customHeight="1" x14ac:dyDescent="0.3">
      <c r="A70" t="s">
        <v>365</v>
      </c>
      <c r="N70" t="s">
        <v>342</v>
      </c>
      <c r="R70" t="s">
        <v>343</v>
      </c>
      <c r="T70" t="s">
        <v>344</v>
      </c>
      <c r="V70" t="s">
        <v>345</v>
      </c>
      <c r="Y70" t="s">
        <v>346</v>
      </c>
    </row>
    <row r="71" spans="1:25" ht="18" customHeight="1" x14ac:dyDescent="0.3">
      <c r="A71" t="s">
        <v>372</v>
      </c>
      <c r="N71">
        <v>677.26</v>
      </c>
      <c r="R71">
        <v>677.26</v>
      </c>
      <c r="T71">
        <v>0</v>
      </c>
      <c r="V71">
        <v>0</v>
      </c>
    </row>
    <row r="72" spans="1:25" ht="11.25" customHeight="1" x14ac:dyDescent="0.3">
      <c r="N72">
        <v>677.26</v>
      </c>
      <c r="R72">
        <v>677.26</v>
      </c>
      <c r="T72">
        <v>0</v>
      </c>
      <c r="V72">
        <v>0</v>
      </c>
    </row>
    <row r="73" spans="1:25" ht="25.05" customHeight="1" x14ac:dyDescent="0.3">
      <c r="A73" t="s">
        <v>373</v>
      </c>
    </row>
    <row r="74" spans="1:25" ht="16.05" customHeight="1" x14ac:dyDescent="0.3">
      <c r="A74" t="s">
        <v>365</v>
      </c>
      <c r="N74" t="s">
        <v>342</v>
      </c>
      <c r="R74" t="s">
        <v>343</v>
      </c>
      <c r="T74" t="s">
        <v>344</v>
      </c>
      <c r="V74" t="s">
        <v>345</v>
      </c>
      <c r="Y74" t="s">
        <v>346</v>
      </c>
    </row>
    <row r="75" spans="1:25" ht="18" customHeight="1" x14ac:dyDescent="0.3">
      <c r="A75" t="s">
        <v>374</v>
      </c>
      <c r="N75">
        <v>0</v>
      </c>
      <c r="R75">
        <v>809.08</v>
      </c>
      <c r="T75">
        <v>-809.08</v>
      </c>
      <c r="V75">
        <v>0</v>
      </c>
    </row>
    <row r="76" spans="1:25" ht="11.25" customHeight="1" x14ac:dyDescent="0.3">
      <c r="N76">
        <v>0</v>
      </c>
      <c r="R76">
        <v>809.08</v>
      </c>
      <c r="T76">
        <v>-809.08</v>
      </c>
      <c r="V76">
        <v>0</v>
      </c>
    </row>
    <row r="77" spans="1:25" ht="25.95" customHeight="1" x14ac:dyDescent="0.3">
      <c r="A77">
        <v>1019</v>
      </c>
      <c r="C77" t="s">
        <v>375</v>
      </c>
    </row>
    <row r="78" spans="1:25" ht="13.05" customHeight="1" x14ac:dyDescent="0.3">
      <c r="C78" t="s">
        <v>340</v>
      </c>
      <c r="K78" t="s">
        <v>341</v>
      </c>
      <c r="L78" t="s">
        <v>342</v>
      </c>
      <c r="Q78" t="s">
        <v>343</v>
      </c>
      <c r="S78" t="s">
        <v>344</v>
      </c>
      <c r="U78" t="s">
        <v>345</v>
      </c>
      <c r="X78" t="s">
        <v>346</v>
      </c>
    </row>
    <row r="79" spans="1:25" ht="15" customHeight="1" x14ac:dyDescent="0.3">
      <c r="A79">
        <v>1038</v>
      </c>
      <c r="H79" t="s">
        <v>347</v>
      </c>
      <c r="M79">
        <v>986.3</v>
      </c>
      <c r="R79">
        <v>986.3</v>
      </c>
      <c r="T79">
        <v>0</v>
      </c>
      <c r="V79">
        <v>0</v>
      </c>
    </row>
    <row r="80" spans="1:25" ht="18" customHeight="1" x14ac:dyDescent="0.3">
      <c r="A80">
        <v>1090</v>
      </c>
      <c r="H80" t="s">
        <v>347</v>
      </c>
      <c r="M80">
        <v>328.77</v>
      </c>
      <c r="R80">
        <v>328.77</v>
      </c>
      <c r="T80">
        <v>0</v>
      </c>
      <c r="V80">
        <v>0</v>
      </c>
    </row>
    <row r="81" spans="1:25" ht="11.25" customHeight="1" x14ac:dyDescent="0.3">
      <c r="M81">
        <v>1315.07</v>
      </c>
      <c r="R81">
        <v>1315.07</v>
      </c>
      <c r="T81">
        <v>0</v>
      </c>
      <c r="V81">
        <v>0</v>
      </c>
    </row>
    <row r="82" spans="1:25" ht="25.05" customHeight="1" x14ac:dyDescent="0.3">
      <c r="A82" t="s">
        <v>376</v>
      </c>
      <c r="H82" t="s">
        <v>377</v>
      </c>
    </row>
    <row r="83" spans="1:25" ht="13.95" customHeight="1" x14ac:dyDescent="0.3">
      <c r="A83" t="s">
        <v>340</v>
      </c>
      <c r="H83" t="s">
        <v>341</v>
      </c>
      <c r="M83" t="s">
        <v>342</v>
      </c>
      <c r="R83" t="s">
        <v>343</v>
      </c>
      <c r="T83" t="s">
        <v>344</v>
      </c>
      <c r="V83" t="s">
        <v>345</v>
      </c>
      <c r="Y83" t="s">
        <v>346</v>
      </c>
    </row>
    <row r="84" spans="1:25" ht="12" customHeight="1" x14ac:dyDescent="0.3">
      <c r="A84">
        <v>1106</v>
      </c>
      <c r="H84" t="s">
        <v>347</v>
      </c>
      <c r="M84">
        <v>573.29</v>
      </c>
      <c r="R84">
        <v>573.29</v>
      </c>
      <c r="T84">
        <v>0</v>
      </c>
      <c r="V84">
        <v>0</v>
      </c>
    </row>
    <row r="85" spans="1:25" ht="13.95" customHeight="1" x14ac:dyDescent="0.3">
      <c r="A85">
        <v>1118</v>
      </c>
      <c r="H85" t="s">
        <v>347</v>
      </c>
      <c r="M85">
        <v>382.19</v>
      </c>
      <c r="R85">
        <v>382.19</v>
      </c>
      <c r="T85">
        <v>0</v>
      </c>
      <c r="V85">
        <v>0</v>
      </c>
    </row>
    <row r="86" spans="1:25" ht="11.25" customHeight="1" x14ac:dyDescent="0.3">
      <c r="A86">
        <v>1172</v>
      </c>
      <c r="H86" t="s">
        <v>347</v>
      </c>
      <c r="M86">
        <v>191.1</v>
      </c>
      <c r="R86">
        <v>191.1</v>
      </c>
      <c r="T86">
        <v>0</v>
      </c>
      <c r="V86">
        <v>0</v>
      </c>
    </row>
    <row r="87" spans="1:25" ht="11.25" customHeight="1" x14ac:dyDescent="0.3">
      <c r="M87">
        <v>1146.58</v>
      </c>
      <c r="R87">
        <v>1146.58</v>
      </c>
      <c r="T87">
        <v>0</v>
      </c>
      <c r="V87">
        <v>0</v>
      </c>
    </row>
    <row r="88" spans="1:25" ht="6" customHeight="1" x14ac:dyDescent="0.3">
      <c r="B88" t="s">
        <v>378</v>
      </c>
    </row>
    <row r="89" spans="1:25" ht="22.5" customHeight="1" x14ac:dyDescent="0.3"/>
    <row r="90" spans="1:25" ht="7.05" customHeight="1" x14ac:dyDescent="0.3">
      <c r="A90" t="s">
        <v>340</v>
      </c>
      <c r="K90" t="s">
        <v>341</v>
      </c>
      <c r="M90" t="s">
        <v>342</v>
      </c>
      <c r="Q90" t="s">
        <v>343</v>
      </c>
      <c r="S90" t="s">
        <v>344</v>
      </c>
      <c r="U90" t="s">
        <v>345</v>
      </c>
      <c r="X90" t="s">
        <v>346</v>
      </c>
    </row>
    <row r="91" spans="1:25" ht="11.25" customHeight="1" x14ac:dyDescent="0.3"/>
    <row r="92" spans="1:25" ht="25.95" customHeight="1" x14ac:dyDescent="0.3">
      <c r="A92" t="s">
        <v>379</v>
      </c>
    </row>
    <row r="93" spans="1:25" ht="15" customHeight="1" x14ac:dyDescent="0.3">
      <c r="A93" t="s">
        <v>380</v>
      </c>
      <c r="R93" t="s">
        <v>343</v>
      </c>
      <c r="T93" t="s">
        <v>344</v>
      </c>
      <c r="V93" t="s">
        <v>345</v>
      </c>
      <c r="Y93" t="s">
        <v>346</v>
      </c>
    </row>
    <row r="94" spans="1:25" ht="18" customHeight="1" x14ac:dyDescent="0.3">
      <c r="A94" t="s">
        <v>381</v>
      </c>
      <c r="R94">
        <v>1643.84</v>
      </c>
      <c r="T94">
        <v>0</v>
      </c>
      <c r="V94">
        <v>0</v>
      </c>
    </row>
    <row r="95" spans="1:25" ht="12" customHeight="1" x14ac:dyDescent="0.3">
      <c r="A95">
        <v>1643.84</v>
      </c>
      <c r="R95">
        <v>1643.84</v>
      </c>
      <c r="T95">
        <v>0</v>
      </c>
      <c r="V95">
        <v>0</v>
      </c>
    </row>
    <row r="96" spans="1:25" ht="25.05" customHeight="1" x14ac:dyDescent="0.3">
      <c r="A96" t="s">
        <v>382</v>
      </c>
    </row>
    <row r="97" spans="1:25" ht="16.05" customHeight="1" x14ac:dyDescent="0.3">
      <c r="A97" t="s">
        <v>380</v>
      </c>
      <c r="R97" t="s">
        <v>343</v>
      </c>
      <c r="T97" t="s">
        <v>344</v>
      </c>
      <c r="V97" t="s">
        <v>345</v>
      </c>
      <c r="Y97" t="s">
        <v>346</v>
      </c>
    </row>
    <row r="98" spans="1:25" ht="18" customHeight="1" x14ac:dyDescent="0.3">
      <c r="A98" t="s">
        <v>383</v>
      </c>
      <c r="R98">
        <v>1578.08</v>
      </c>
      <c r="T98">
        <v>0</v>
      </c>
      <c r="V98">
        <v>0</v>
      </c>
    </row>
    <row r="99" spans="1:25" ht="11.25" customHeight="1" x14ac:dyDescent="0.3">
      <c r="A99">
        <v>1578.08</v>
      </c>
      <c r="R99">
        <v>1578.08</v>
      </c>
      <c r="T99">
        <v>0</v>
      </c>
      <c r="V99">
        <v>0</v>
      </c>
    </row>
    <row r="100" spans="1:25" ht="25.95" customHeight="1" x14ac:dyDescent="0.3">
      <c r="A100" t="s">
        <v>384</v>
      </c>
    </row>
    <row r="101" spans="1:25" ht="13.05" customHeight="1" x14ac:dyDescent="0.3">
      <c r="A101" t="s">
        <v>380</v>
      </c>
      <c r="R101" t="s">
        <v>343</v>
      </c>
      <c r="T101" t="s">
        <v>344</v>
      </c>
      <c r="V101" t="s">
        <v>345</v>
      </c>
      <c r="Y101" t="s">
        <v>346</v>
      </c>
    </row>
    <row r="102" spans="1:25" ht="12" customHeight="1" x14ac:dyDescent="0.3">
      <c r="A102" t="s">
        <v>385</v>
      </c>
      <c r="R102">
        <v>14390.23</v>
      </c>
      <c r="T102">
        <v>0</v>
      </c>
      <c r="V102">
        <v>0</v>
      </c>
    </row>
    <row r="103" spans="1:25" ht="12" customHeight="1" x14ac:dyDescent="0.3">
      <c r="A103" t="s">
        <v>386</v>
      </c>
      <c r="R103">
        <v>171.13</v>
      </c>
      <c r="T103">
        <v>0</v>
      </c>
      <c r="V103">
        <v>0</v>
      </c>
    </row>
    <row r="104" spans="1:25" ht="13.95" customHeight="1" x14ac:dyDescent="0.3">
      <c r="A104" t="s">
        <v>387</v>
      </c>
      <c r="R104">
        <v>21249.86</v>
      </c>
      <c r="T104">
        <v>0</v>
      </c>
      <c r="V104">
        <v>0</v>
      </c>
    </row>
    <row r="105" spans="1:25" ht="18" customHeight="1" x14ac:dyDescent="0.3">
      <c r="A105" t="s">
        <v>388</v>
      </c>
      <c r="R105">
        <v>6514.32</v>
      </c>
      <c r="T105">
        <v>-6514.32</v>
      </c>
      <c r="V105">
        <v>0</v>
      </c>
    </row>
    <row r="106" spans="1:25" ht="12" customHeight="1" x14ac:dyDescent="0.3">
      <c r="A106">
        <v>35811.22</v>
      </c>
      <c r="R106">
        <v>42325.54</v>
      </c>
      <c r="T106">
        <v>-6514.32</v>
      </c>
      <c r="V106">
        <v>0</v>
      </c>
    </row>
    <row r="107" spans="1:25" ht="25.95" customHeight="1" x14ac:dyDescent="0.3">
      <c r="A107">
        <v>1029</v>
      </c>
      <c r="D107" t="s">
        <v>389</v>
      </c>
    </row>
    <row r="108" spans="1:25" ht="12" customHeight="1" x14ac:dyDescent="0.3">
      <c r="D108" t="s">
        <v>340</v>
      </c>
      <c r="K108" t="s">
        <v>341</v>
      </c>
      <c r="M108" t="s">
        <v>342</v>
      </c>
      <c r="Q108" t="s">
        <v>343</v>
      </c>
      <c r="S108" t="s">
        <v>344</v>
      </c>
      <c r="U108" t="s">
        <v>345</v>
      </c>
      <c r="X108" t="s">
        <v>346</v>
      </c>
    </row>
    <row r="109" spans="1:25" ht="12" customHeight="1" x14ac:dyDescent="0.3">
      <c r="A109" t="s">
        <v>390</v>
      </c>
      <c r="M109">
        <v>719.18</v>
      </c>
      <c r="R109">
        <v>719.18</v>
      </c>
      <c r="T109">
        <v>0</v>
      </c>
      <c r="V109">
        <v>0</v>
      </c>
    </row>
    <row r="110" spans="1:25" ht="12" customHeight="1" x14ac:dyDescent="0.3">
      <c r="A110" t="s">
        <v>391</v>
      </c>
      <c r="M110">
        <v>143.84</v>
      </c>
      <c r="R110">
        <v>143.84</v>
      </c>
      <c r="T110">
        <v>0</v>
      </c>
      <c r="V110">
        <v>0</v>
      </c>
    </row>
    <row r="111" spans="1:25" ht="15" customHeight="1" x14ac:dyDescent="0.3">
      <c r="A111" t="s">
        <v>392</v>
      </c>
      <c r="M111">
        <v>1438.36</v>
      </c>
      <c r="R111">
        <v>1438.36</v>
      </c>
      <c r="T111">
        <v>0</v>
      </c>
      <c r="V111">
        <v>0</v>
      </c>
    </row>
    <row r="112" spans="1:25" ht="18" customHeight="1" x14ac:dyDescent="0.3">
      <c r="A112" t="s">
        <v>393</v>
      </c>
      <c r="M112">
        <v>431.51</v>
      </c>
      <c r="R112">
        <v>431.51</v>
      </c>
      <c r="T112">
        <v>0</v>
      </c>
      <c r="V112">
        <v>0</v>
      </c>
    </row>
    <row r="113" spans="1:25" ht="11.25" customHeight="1" x14ac:dyDescent="0.3">
      <c r="M113">
        <v>2732.89</v>
      </c>
      <c r="R113">
        <v>2732.89</v>
      </c>
      <c r="T113">
        <v>0</v>
      </c>
      <c r="V113">
        <v>0</v>
      </c>
    </row>
    <row r="114" spans="1:25" ht="25.95" customHeight="1" x14ac:dyDescent="0.3">
      <c r="A114" t="s">
        <v>394</v>
      </c>
    </row>
    <row r="115" spans="1:25" ht="15" customHeight="1" x14ac:dyDescent="0.3">
      <c r="A115" t="s">
        <v>365</v>
      </c>
      <c r="M115" t="s">
        <v>342</v>
      </c>
      <c r="R115" t="s">
        <v>343</v>
      </c>
      <c r="T115" t="s">
        <v>344</v>
      </c>
      <c r="V115" t="s">
        <v>345</v>
      </c>
      <c r="Y115" t="s">
        <v>346</v>
      </c>
    </row>
    <row r="116" spans="1:25" ht="18" customHeight="1" x14ac:dyDescent="0.3">
      <c r="A116" t="s">
        <v>395</v>
      </c>
      <c r="M116">
        <v>3821.92</v>
      </c>
      <c r="R116">
        <v>3821.92</v>
      </c>
      <c r="T116">
        <v>0</v>
      </c>
      <c r="V116">
        <v>0</v>
      </c>
    </row>
    <row r="117" spans="1:25" ht="12" customHeight="1" x14ac:dyDescent="0.3">
      <c r="M117">
        <v>3821.92</v>
      </c>
      <c r="R117">
        <v>3821.92</v>
      </c>
      <c r="T117">
        <v>0</v>
      </c>
      <c r="V117">
        <v>0</v>
      </c>
    </row>
    <row r="118" spans="1:25" ht="25.05" customHeight="1" x14ac:dyDescent="0.3">
      <c r="A118" t="s">
        <v>396</v>
      </c>
    </row>
    <row r="119" spans="1:25" ht="13.05" customHeight="1" x14ac:dyDescent="0.3">
      <c r="A119" t="s">
        <v>365</v>
      </c>
      <c r="M119" t="s">
        <v>342</v>
      </c>
      <c r="R119" t="s">
        <v>343</v>
      </c>
      <c r="T119" t="s">
        <v>344</v>
      </c>
      <c r="V119" t="s">
        <v>345</v>
      </c>
      <c r="Y119" t="s">
        <v>346</v>
      </c>
    </row>
    <row r="120" spans="1:25" ht="15" customHeight="1" x14ac:dyDescent="0.3">
      <c r="A120" t="s">
        <v>397</v>
      </c>
      <c r="M120">
        <v>3821.92</v>
      </c>
      <c r="R120">
        <v>3821.92</v>
      </c>
      <c r="T120">
        <v>0</v>
      </c>
      <c r="V120">
        <v>0</v>
      </c>
    </row>
    <row r="121" spans="1:25" ht="18" customHeight="1" x14ac:dyDescent="0.3">
      <c r="A121" t="s">
        <v>398</v>
      </c>
      <c r="M121">
        <v>2866.44</v>
      </c>
      <c r="R121">
        <v>2866.44</v>
      </c>
      <c r="T121">
        <v>0</v>
      </c>
      <c r="V121">
        <v>0</v>
      </c>
    </row>
    <row r="122" spans="1:25" ht="11.25" customHeight="1" x14ac:dyDescent="0.3">
      <c r="M122">
        <v>6688.36</v>
      </c>
      <c r="R122">
        <v>6688.36</v>
      </c>
      <c r="T122">
        <v>0</v>
      </c>
      <c r="V122">
        <v>0</v>
      </c>
    </row>
    <row r="123" spans="1:25" ht="25.95" customHeight="1" x14ac:dyDescent="0.3">
      <c r="A123">
        <v>1033</v>
      </c>
      <c r="D123" t="s">
        <v>399</v>
      </c>
    </row>
    <row r="124" spans="1:25" ht="13.05" customHeight="1" x14ac:dyDescent="0.3">
      <c r="D124" t="s">
        <v>340</v>
      </c>
      <c r="K124" t="s">
        <v>341</v>
      </c>
      <c r="M124" t="s">
        <v>342</v>
      </c>
      <c r="Q124" t="s">
        <v>343</v>
      </c>
      <c r="S124" t="s">
        <v>344</v>
      </c>
      <c r="U124" t="s">
        <v>345</v>
      </c>
      <c r="X124" t="s">
        <v>346</v>
      </c>
    </row>
    <row r="125" spans="1:25" ht="13.95" customHeight="1" x14ac:dyDescent="0.3">
      <c r="A125" t="s">
        <v>400</v>
      </c>
      <c r="M125">
        <v>764.38</v>
      </c>
      <c r="R125">
        <v>764.38</v>
      </c>
      <c r="T125">
        <v>0</v>
      </c>
      <c r="V125">
        <v>0</v>
      </c>
    </row>
    <row r="126" spans="1:25" ht="18" customHeight="1" x14ac:dyDescent="0.3">
      <c r="A126" t="s">
        <v>401</v>
      </c>
      <c r="M126">
        <v>764.38</v>
      </c>
      <c r="R126">
        <v>764.38</v>
      </c>
      <c r="T126">
        <v>0</v>
      </c>
      <c r="V126">
        <v>0</v>
      </c>
    </row>
    <row r="127" spans="1:25" ht="12" customHeight="1" x14ac:dyDescent="0.3">
      <c r="M127">
        <v>1528.76</v>
      </c>
      <c r="R127">
        <v>1528.76</v>
      </c>
      <c r="T127">
        <v>0</v>
      </c>
      <c r="V127">
        <v>0</v>
      </c>
    </row>
    <row r="128" spans="1:25" ht="25.05" customHeight="1" x14ac:dyDescent="0.3">
      <c r="A128" t="s">
        <v>402</v>
      </c>
    </row>
    <row r="129" spans="1:25" ht="12.3" customHeight="1" x14ac:dyDescent="0.3">
      <c r="A129" t="s">
        <v>365</v>
      </c>
      <c r="M129" t="s">
        <v>342</v>
      </c>
      <c r="R129" t="s">
        <v>343</v>
      </c>
      <c r="T129" t="s">
        <v>344</v>
      </c>
      <c r="V129" t="s">
        <v>345</v>
      </c>
      <c r="Y129" t="s">
        <v>346</v>
      </c>
    </row>
    <row r="130" spans="1:25" ht="11.25" customHeight="1" x14ac:dyDescent="0.3">
      <c r="A130" t="s">
        <v>403</v>
      </c>
      <c r="M130">
        <v>382.19</v>
      </c>
      <c r="R130">
        <v>382.19</v>
      </c>
      <c r="T130">
        <v>0</v>
      </c>
      <c r="V130">
        <v>0</v>
      </c>
    </row>
    <row r="131" spans="1:25" ht="6" customHeight="1" x14ac:dyDescent="0.3">
      <c r="B131" t="s">
        <v>402</v>
      </c>
    </row>
    <row r="132" spans="1:25" ht="22.5" customHeight="1" x14ac:dyDescent="0.3"/>
    <row r="133" spans="1:25" ht="13.95" customHeight="1" x14ac:dyDescent="0.3">
      <c r="A133" t="s">
        <v>340</v>
      </c>
      <c r="H133" t="s">
        <v>341</v>
      </c>
      <c r="M133" t="s">
        <v>342</v>
      </c>
      <c r="R133" t="s">
        <v>343</v>
      </c>
      <c r="T133" t="s">
        <v>344</v>
      </c>
      <c r="V133" t="s">
        <v>345</v>
      </c>
      <c r="Y133" t="s">
        <v>346</v>
      </c>
    </row>
    <row r="134" spans="1:25" ht="12" customHeight="1" x14ac:dyDescent="0.3">
      <c r="A134">
        <v>1189</v>
      </c>
      <c r="H134" t="s">
        <v>347</v>
      </c>
      <c r="M134">
        <v>191.1</v>
      </c>
      <c r="R134">
        <v>191.1</v>
      </c>
      <c r="T134">
        <v>0</v>
      </c>
      <c r="V134">
        <v>0</v>
      </c>
    </row>
    <row r="135" spans="1:25" ht="13.95" customHeight="1" x14ac:dyDescent="0.3">
      <c r="A135">
        <v>1266</v>
      </c>
      <c r="H135" t="s">
        <v>347</v>
      </c>
      <c r="M135">
        <v>382.19</v>
      </c>
      <c r="R135">
        <v>382.19</v>
      </c>
      <c r="T135">
        <v>0</v>
      </c>
      <c r="V135">
        <v>0</v>
      </c>
    </row>
    <row r="136" spans="1:25" ht="18" customHeight="1" x14ac:dyDescent="0.3">
      <c r="A136">
        <v>1284</v>
      </c>
      <c r="H136" t="s">
        <v>347</v>
      </c>
      <c r="M136">
        <v>7223.42</v>
      </c>
      <c r="R136">
        <v>7223.42</v>
      </c>
      <c r="T136">
        <v>0</v>
      </c>
      <c r="V136">
        <v>0</v>
      </c>
    </row>
    <row r="137" spans="1:25" ht="11.25" customHeight="1" x14ac:dyDescent="0.3">
      <c r="M137">
        <v>8178.9</v>
      </c>
      <c r="R137">
        <v>8178.9</v>
      </c>
      <c r="T137">
        <v>0</v>
      </c>
      <c r="V137">
        <v>0</v>
      </c>
    </row>
    <row r="138" spans="1:25" ht="25.95" customHeight="1" x14ac:dyDescent="0.3">
      <c r="A138" t="s">
        <v>404</v>
      </c>
      <c r="H138" t="s">
        <v>405</v>
      </c>
    </row>
    <row r="139" spans="1:25" ht="13.05" customHeight="1" x14ac:dyDescent="0.3">
      <c r="A139" t="s">
        <v>340</v>
      </c>
      <c r="H139" t="s">
        <v>341</v>
      </c>
      <c r="M139" t="s">
        <v>342</v>
      </c>
      <c r="R139" t="s">
        <v>343</v>
      </c>
      <c r="T139" t="s">
        <v>344</v>
      </c>
      <c r="V139" t="s">
        <v>345</v>
      </c>
      <c r="Y139" t="s">
        <v>346</v>
      </c>
    </row>
    <row r="140" spans="1:25" ht="15" customHeight="1" x14ac:dyDescent="0.3">
      <c r="A140">
        <v>1120</v>
      </c>
      <c r="H140" t="s">
        <v>347</v>
      </c>
      <c r="M140">
        <v>1972.6</v>
      </c>
      <c r="R140">
        <v>1972.6</v>
      </c>
      <c r="T140">
        <v>0</v>
      </c>
      <c r="V140">
        <v>0</v>
      </c>
    </row>
    <row r="141" spans="1:25" ht="18" customHeight="1" x14ac:dyDescent="0.3">
      <c r="A141">
        <v>1211</v>
      </c>
      <c r="H141" t="s">
        <v>347</v>
      </c>
      <c r="M141">
        <v>1910.96</v>
      </c>
      <c r="R141">
        <v>1910.96</v>
      </c>
      <c r="T141">
        <v>0</v>
      </c>
      <c r="V141">
        <v>0</v>
      </c>
    </row>
    <row r="142" spans="1:25" ht="11.25" customHeight="1" x14ac:dyDescent="0.3">
      <c r="M142">
        <v>3883.56</v>
      </c>
      <c r="R142">
        <v>3883.56</v>
      </c>
      <c r="T142">
        <v>0</v>
      </c>
      <c r="V142">
        <v>0</v>
      </c>
    </row>
    <row r="143" spans="1:25" ht="25.95" customHeight="1" x14ac:dyDescent="0.3">
      <c r="A143">
        <v>1036</v>
      </c>
      <c r="C143" t="s">
        <v>406</v>
      </c>
    </row>
    <row r="144" spans="1:25" ht="15" customHeight="1" x14ac:dyDescent="0.3">
      <c r="C144" t="s">
        <v>340</v>
      </c>
      <c r="K144" t="s">
        <v>341</v>
      </c>
      <c r="L144" t="s">
        <v>342</v>
      </c>
      <c r="Q144" t="s">
        <v>343</v>
      </c>
      <c r="S144" t="s">
        <v>344</v>
      </c>
      <c r="U144" t="s">
        <v>345</v>
      </c>
      <c r="X144" t="s">
        <v>346</v>
      </c>
    </row>
    <row r="145" spans="1:25" ht="18" customHeight="1" x14ac:dyDescent="0.3">
      <c r="A145">
        <v>1295</v>
      </c>
      <c r="F145" t="s">
        <v>407</v>
      </c>
      <c r="M145">
        <v>1324.93</v>
      </c>
      <c r="R145">
        <v>1324.93</v>
      </c>
      <c r="T145">
        <v>0</v>
      </c>
      <c r="V145">
        <v>0</v>
      </c>
    </row>
    <row r="146" spans="1:25" ht="11.25" customHeight="1" x14ac:dyDescent="0.3">
      <c r="M146">
        <v>1324.93</v>
      </c>
      <c r="R146">
        <v>1324.93</v>
      </c>
      <c r="T146">
        <v>0</v>
      </c>
      <c r="V146">
        <v>0</v>
      </c>
    </row>
    <row r="147" spans="1:25" ht="25.95" customHeight="1" x14ac:dyDescent="0.3">
      <c r="A147" t="s">
        <v>408</v>
      </c>
      <c r="F147" t="s">
        <v>409</v>
      </c>
    </row>
    <row r="148" spans="1:25" ht="13.05" customHeight="1" x14ac:dyDescent="0.3">
      <c r="A148" t="s">
        <v>340</v>
      </c>
      <c r="F148" t="s">
        <v>341</v>
      </c>
      <c r="M148" t="s">
        <v>342</v>
      </c>
      <c r="R148" t="s">
        <v>343</v>
      </c>
      <c r="T148" t="s">
        <v>344</v>
      </c>
      <c r="V148" t="s">
        <v>345</v>
      </c>
      <c r="Y148" t="s">
        <v>346</v>
      </c>
    </row>
    <row r="149" spans="1:25" ht="15" customHeight="1" x14ac:dyDescent="0.3">
      <c r="A149">
        <v>1199</v>
      </c>
      <c r="F149" t="s">
        <v>347</v>
      </c>
      <c r="M149">
        <v>1222.5999999999999</v>
      </c>
      <c r="R149">
        <v>1222.5999999999999</v>
      </c>
      <c r="T149">
        <v>0</v>
      </c>
      <c r="V149">
        <v>0</v>
      </c>
    </row>
    <row r="150" spans="1:25" ht="18" customHeight="1" x14ac:dyDescent="0.3">
      <c r="A150">
        <v>1200</v>
      </c>
      <c r="F150" t="s">
        <v>347</v>
      </c>
      <c r="M150">
        <v>1299.45</v>
      </c>
      <c r="R150">
        <v>1299.45</v>
      </c>
      <c r="T150">
        <v>0</v>
      </c>
      <c r="V150">
        <v>0</v>
      </c>
    </row>
    <row r="151" spans="1:25" ht="11.25" customHeight="1" x14ac:dyDescent="0.3">
      <c r="M151">
        <v>2522.0500000000002</v>
      </c>
      <c r="R151">
        <v>2522.0500000000002</v>
      </c>
      <c r="T151">
        <v>0</v>
      </c>
      <c r="V151">
        <v>0</v>
      </c>
    </row>
    <row r="152" spans="1:25" ht="25.95" customHeight="1" x14ac:dyDescent="0.3">
      <c r="A152">
        <v>1039</v>
      </c>
      <c r="C152" t="s">
        <v>410</v>
      </c>
    </row>
    <row r="153" spans="1:25" ht="15" customHeight="1" x14ac:dyDescent="0.3">
      <c r="C153" t="s">
        <v>340</v>
      </c>
      <c r="K153" t="s">
        <v>341</v>
      </c>
      <c r="L153" t="s">
        <v>342</v>
      </c>
      <c r="Q153" t="s">
        <v>343</v>
      </c>
      <c r="S153" t="s">
        <v>344</v>
      </c>
      <c r="U153" t="s">
        <v>345</v>
      </c>
      <c r="X153" t="s">
        <v>346</v>
      </c>
    </row>
    <row r="154" spans="1:25" ht="18" customHeight="1" x14ac:dyDescent="0.3">
      <c r="A154">
        <v>1047</v>
      </c>
      <c r="E154" t="s">
        <v>347</v>
      </c>
      <c r="M154">
        <v>3945.21</v>
      </c>
      <c r="R154">
        <v>3945.21</v>
      </c>
      <c r="T154">
        <v>0</v>
      </c>
      <c r="V154">
        <v>0</v>
      </c>
    </row>
    <row r="155" spans="1:25" ht="11.25" customHeight="1" x14ac:dyDescent="0.3">
      <c r="M155">
        <v>3945.21</v>
      </c>
      <c r="R155">
        <v>3945.21</v>
      </c>
      <c r="T155">
        <v>0</v>
      </c>
      <c r="V155">
        <v>0</v>
      </c>
    </row>
    <row r="156" spans="1:25" ht="25.95" customHeight="1" x14ac:dyDescent="0.3">
      <c r="A156">
        <v>1040</v>
      </c>
      <c r="E156" t="s">
        <v>411</v>
      </c>
    </row>
    <row r="157" spans="1:25" ht="13.05" customHeight="1" x14ac:dyDescent="0.3">
      <c r="A157" t="s">
        <v>340</v>
      </c>
      <c r="I157" t="s">
        <v>341</v>
      </c>
      <c r="M157" t="s">
        <v>342</v>
      </c>
      <c r="R157" t="s">
        <v>343</v>
      </c>
      <c r="T157" t="s">
        <v>344</v>
      </c>
      <c r="V157" t="s">
        <v>345</v>
      </c>
      <c r="Y157" t="s">
        <v>346</v>
      </c>
    </row>
    <row r="158" spans="1:25" ht="12" customHeight="1" x14ac:dyDescent="0.3">
      <c r="A158">
        <v>1113</v>
      </c>
      <c r="I158" t="s">
        <v>347</v>
      </c>
      <c r="M158">
        <v>5260.27</v>
      </c>
      <c r="R158">
        <v>5260.27</v>
      </c>
      <c r="T158">
        <v>0</v>
      </c>
      <c r="V158">
        <v>0</v>
      </c>
    </row>
    <row r="159" spans="1:25" ht="15" customHeight="1" x14ac:dyDescent="0.3">
      <c r="A159">
        <v>1114</v>
      </c>
      <c r="I159" t="s">
        <v>347</v>
      </c>
      <c r="M159">
        <v>1315.07</v>
      </c>
      <c r="R159">
        <v>1315.07</v>
      </c>
      <c r="T159">
        <v>0</v>
      </c>
      <c r="V159">
        <v>0</v>
      </c>
    </row>
    <row r="160" spans="1:25" ht="18" customHeight="1" x14ac:dyDescent="0.3">
      <c r="A160">
        <v>1244</v>
      </c>
      <c r="I160" t="s">
        <v>347</v>
      </c>
      <c r="M160">
        <v>3249.3</v>
      </c>
      <c r="R160">
        <v>3249.3</v>
      </c>
      <c r="T160">
        <v>0</v>
      </c>
      <c r="V160">
        <v>0</v>
      </c>
    </row>
    <row r="161" spans="1:25" ht="11.25" customHeight="1" x14ac:dyDescent="0.3">
      <c r="M161">
        <v>9824.64</v>
      </c>
      <c r="R161">
        <v>9824.64</v>
      </c>
      <c r="T161">
        <v>0</v>
      </c>
      <c r="V161">
        <v>0</v>
      </c>
    </row>
    <row r="162" spans="1:25" ht="25.95" customHeight="1" x14ac:dyDescent="0.3">
      <c r="A162">
        <v>1041</v>
      </c>
      <c r="C162" t="s">
        <v>412</v>
      </c>
    </row>
    <row r="163" spans="1:25" ht="13.05" customHeight="1" x14ac:dyDescent="0.3">
      <c r="C163" t="s">
        <v>340</v>
      </c>
      <c r="K163" t="s">
        <v>341</v>
      </c>
      <c r="L163" t="s">
        <v>342</v>
      </c>
      <c r="Q163" t="s">
        <v>343</v>
      </c>
      <c r="S163" t="s">
        <v>344</v>
      </c>
      <c r="U163" t="s">
        <v>345</v>
      </c>
      <c r="X163" t="s">
        <v>346</v>
      </c>
    </row>
    <row r="164" spans="1:25" ht="12" customHeight="1" x14ac:dyDescent="0.3">
      <c r="A164" t="s">
        <v>413</v>
      </c>
      <c r="M164">
        <v>2630.14</v>
      </c>
      <c r="R164">
        <v>2630.14</v>
      </c>
      <c r="T164">
        <v>0</v>
      </c>
      <c r="V164">
        <v>0</v>
      </c>
    </row>
    <row r="165" spans="1:25" ht="13.95" customHeight="1" x14ac:dyDescent="0.3">
      <c r="A165" t="s">
        <v>414</v>
      </c>
      <c r="M165">
        <v>764.38</v>
      </c>
      <c r="R165">
        <v>764.38</v>
      </c>
      <c r="T165">
        <v>0</v>
      </c>
      <c r="V165">
        <v>0</v>
      </c>
    </row>
    <row r="166" spans="1:25" ht="18" customHeight="1" x14ac:dyDescent="0.3">
      <c r="A166" t="s">
        <v>415</v>
      </c>
      <c r="M166">
        <v>764.38</v>
      </c>
      <c r="R166">
        <v>764.38</v>
      </c>
      <c r="T166">
        <v>0</v>
      </c>
      <c r="V166">
        <v>0</v>
      </c>
    </row>
    <row r="167" spans="1:25" ht="12" customHeight="1" x14ac:dyDescent="0.3">
      <c r="M167">
        <v>4158.8999999999996</v>
      </c>
      <c r="R167">
        <v>4158.8999999999996</v>
      </c>
      <c r="T167">
        <v>0</v>
      </c>
      <c r="V167">
        <v>0</v>
      </c>
    </row>
    <row r="168" spans="1:25" ht="25.05" customHeight="1" x14ac:dyDescent="0.3">
      <c r="A168" t="s">
        <v>416</v>
      </c>
    </row>
    <row r="169" spans="1:25" ht="13.05" customHeight="1" x14ac:dyDescent="0.3">
      <c r="A169" t="s">
        <v>365</v>
      </c>
      <c r="M169" t="s">
        <v>342</v>
      </c>
      <c r="R169" t="s">
        <v>343</v>
      </c>
      <c r="T169" t="s">
        <v>344</v>
      </c>
      <c r="V169" t="s">
        <v>345</v>
      </c>
      <c r="Y169" t="s">
        <v>346</v>
      </c>
    </row>
    <row r="170" spans="1:25" ht="15" customHeight="1" x14ac:dyDescent="0.3">
      <c r="A170" t="s">
        <v>417</v>
      </c>
      <c r="M170">
        <v>591.78</v>
      </c>
      <c r="R170">
        <v>591.78</v>
      </c>
      <c r="T170">
        <v>0</v>
      </c>
      <c r="V170">
        <v>0</v>
      </c>
    </row>
    <row r="171" spans="1:25" ht="11.25" customHeight="1" x14ac:dyDescent="0.3">
      <c r="A171" t="s">
        <v>418</v>
      </c>
      <c r="M171">
        <v>920.55</v>
      </c>
      <c r="R171">
        <v>920.55</v>
      </c>
      <c r="T171">
        <v>0</v>
      </c>
      <c r="V171">
        <v>0</v>
      </c>
    </row>
    <row r="172" spans="1:25" ht="11.25" customHeight="1" x14ac:dyDescent="0.3">
      <c r="M172">
        <v>1512.33</v>
      </c>
      <c r="R172">
        <v>1512.33</v>
      </c>
      <c r="T172">
        <v>0</v>
      </c>
      <c r="V172">
        <v>0</v>
      </c>
    </row>
    <row r="173" spans="1:25" ht="6" customHeight="1" x14ac:dyDescent="0.3">
      <c r="B173" t="s">
        <v>419</v>
      </c>
    </row>
    <row r="174" spans="1:25" ht="22.5" customHeight="1" x14ac:dyDescent="0.3"/>
    <row r="175" spans="1:25" ht="13.95" customHeight="1" x14ac:dyDescent="0.3">
      <c r="A175" t="s">
        <v>340</v>
      </c>
      <c r="I175" t="s">
        <v>341</v>
      </c>
      <c r="M175" t="s">
        <v>342</v>
      </c>
      <c r="R175" t="s">
        <v>343</v>
      </c>
      <c r="T175" t="s">
        <v>344</v>
      </c>
      <c r="V175" t="s">
        <v>345</v>
      </c>
      <c r="Y175" t="s">
        <v>346</v>
      </c>
    </row>
    <row r="176" spans="1:25" ht="12" customHeight="1" x14ac:dyDescent="0.3">
      <c r="A176">
        <v>1053</v>
      </c>
      <c r="I176" t="s">
        <v>347</v>
      </c>
      <c r="M176">
        <v>1972.6</v>
      </c>
      <c r="R176">
        <v>1972.6</v>
      </c>
      <c r="T176">
        <v>0</v>
      </c>
      <c r="V176">
        <v>0</v>
      </c>
    </row>
    <row r="177" spans="1:25" ht="12" customHeight="1" x14ac:dyDescent="0.3">
      <c r="A177">
        <v>1150</v>
      </c>
      <c r="I177" t="s">
        <v>347</v>
      </c>
      <c r="M177">
        <v>4931.51</v>
      </c>
      <c r="R177">
        <v>4931.51</v>
      </c>
      <c r="T177">
        <v>0</v>
      </c>
      <c r="V177">
        <v>0</v>
      </c>
    </row>
    <row r="178" spans="1:25" ht="12" customHeight="1" x14ac:dyDescent="0.3">
      <c r="A178">
        <v>1154</v>
      </c>
      <c r="I178" t="s">
        <v>347</v>
      </c>
      <c r="M178">
        <v>1972.6</v>
      </c>
      <c r="R178">
        <v>1972.6</v>
      </c>
      <c r="T178">
        <v>0</v>
      </c>
      <c r="V178">
        <v>0</v>
      </c>
    </row>
    <row r="179" spans="1:25" ht="13.95" customHeight="1" x14ac:dyDescent="0.3">
      <c r="A179">
        <v>1163</v>
      </c>
      <c r="I179" t="s">
        <v>347</v>
      </c>
      <c r="M179">
        <v>7397.26</v>
      </c>
      <c r="R179">
        <v>7397.26</v>
      </c>
      <c r="T179">
        <v>0</v>
      </c>
      <c r="V179">
        <v>0</v>
      </c>
    </row>
    <row r="180" spans="1:25" ht="18" customHeight="1" x14ac:dyDescent="0.3">
      <c r="A180">
        <v>1254</v>
      </c>
      <c r="I180" t="s">
        <v>347</v>
      </c>
      <c r="M180">
        <v>986.3</v>
      </c>
      <c r="R180">
        <v>986.3</v>
      </c>
      <c r="T180">
        <v>0</v>
      </c>
      <c r="V180">
        <v>0</v>
      </c>
    </row>
    <row r="181" spans="1:25" ht="12" customHeight="1" x14ac:dyDescent="0.3">
      <c r="M181">
        <v>17260.27</v>
      </c>
      <c r="R181">
        <v>17260.27</v>
      </c>
      <c r="T181">
        <v>0</v>
      </c>
      <c r="V181">
        <v>0</v>
      </c>
    </row>
    <row r="182" spans="1:25" ht="25.05" customHeight="1" x14ac:dyDescent="0.3">
      <c r="A182" t="s">
        <v>420</v>
      </c>
    </row>
    <row r="183" spans="1:25" ht="16.05" customHeight="1" x14ac:dyDescent="0.3">
      <c r="A183" t="s">
        <v>365</v>
      </c>
      <c r="M183" t="s">
        <v>342</v>
      </c>
      <c r="R183" t="s">
        <v>343</v>
      </c>
      <c r="T183" t="s">
        <v>344</v>
      </c>
      <c r="V183" t="s">
        <v>345</v>
      </c>
      <c r="Y183" t="s">
        <v>346</v>
      </c>
    </row>
    <row r="184" spans="1:25" ht="18" customHeight="1" x14ac:dyDescent="0.3">
      <c r="A184" t="s">
        <v>421</v>
      </c>
      <c r="M184">
        <v>1146.58</v>
      </c>
      <c r="R184">
        <v>1146.58</v>
      </c>
      <c r="T184">
        <v>0</v>
      </c>
      <c r="V184">
        <v>0</v>
      </c>
    </row>
    <row r="185" spans="1:25" ht="11.25" customHeight="1" x14ac:dyDescent="0.3">
      <c r="M185">
        <v>1146.58</v>
      </c>
      <c r="R185">
        <v>1146.58</v>
      </c>
      <c r="T185">
        <v>0</v>
      </c>
      <c r="V185">
        <v>0</v>
      </c>
    </row>
    <row r="186" spans="1:25" ht="25.95" customHeight="1" x14ac:dyDescent="0.3">
      <c r="A186">
        <v>1047</v>
      </c>
      <c r="C186" t="s">
        <v>422</v>
      </c>
    </row>
    <row r="187" spans="1:25" ht="15" customHeight="1" x14ac:dyDescent="0.3">
      <c r="C187" t="s">
        <v>340</v>
      </c>
      <c r="K187" t="s">
        <v>341</v>
      </c>
      <c r="L187" t="s">
        <v>342</v>
      </c>
      <c r="Q187" t="s">
        <v>343</v>
      </c>
      <c r="S187" t="s">
        <v>344</v>
      </c>
      <c r="U187" t="s">
        <v>345</v>
      </c>
      <c r="X187" t="s">
        <v>346</v>
      </c>
    </row>
    <row r="188" spans="1:25" ht="18" customHeight="1" x14ac:dyDescent="0.3">
      <c r="A188">
        <v>1061</v>
      </c>
      <c r="I188" t="s">
        <v>347</v>
      </c>
      <c r="P188">
        <v>657.53</v>
      </c>
      <c r="R188">
        <v>657.53</v>
      </c>
      <c r="T188">
        <v>0</v>
      </c>
      <c r="V188">
        <v>0</v>
      </c>
    </row>
    <row r="189" spans="1:25" ht="11.25" customHeight="1" x14ac:dyDescent="0.3">
      <c r="P189">
        <v>657.53</v>
      </c>
      <c r="R189">
        <v>657.53</v>
      </c>
      <c r="T189">
        <v>0</v>
      </c>
      <c r="V189">
        <v>0</v>
      </c>
    </row>
    <row r="190" spans="1:25" ht="25.95" customHeight="1" x14ac:dyDescent="0.3">
      <c r="A190" t="s">
        <v>423</v>
      </c>
      <c r="I190" t="s">
        <v>424</v>
      </c>
    </row>
    <row r="191" spans="1:25" ht="13.05" customHeight="1" x14ac:dyDescent="0.3">
      <c r="A191" t="s">
        <v>340</v>
      </c>
      <c r="I191" t="s">
        <v>341</v>
      </c>
      <c r="P191" t="s">
        <v>342</v>
      </c>
      <c r="R191" t="s">
        <v>343</v>
      </c>
      <c r="T191" t="s">
        <v>344</v>
      </c>
      <c r="V191" t="s">
        <v>345</v>
      </c>
      <c r="Y191" t="s">
        <v>346</v>
      </c>
    </row>
    <row r="192" spans="1:25" ht="15" customHeight="1" x14ac:dyDescent="0.3">
      <c r="A192">
        <v>1230</v>
      </c>
      <c r="I192" t="s">
        <v>347</v>
      </c>
      <c r="P192">
        <v>0</v>
      </c>
      <c r="R192">
        <v>7149.87</v>
      </c>
      <c r="T192">
        <v>-7149.87</v>
      </c>
      <c r="V192">
        <v>0</v>
      </c>
    </row>
    <row r="193" spans="1:25" ht="18" customHeight="1" x14ac:dyDescent="0.3">
      <c r="A193">
        <v>1240</v>
      </c>
      <c r="I193" t="s">
        <v>347</v>
      </c>
      <c r="P193">
        <v>0</v>
      </c>
      <c r="R193">
        <v>794.43</v>
      </c>
      <c r="T193">
        <v>-794.43</v>
      </c>
      <c r="V193">
        <v>0</v>
      </c>
    </row>
    <row r="194" spans="1:25" ht="11.25" customHeight="1" x14ac:dyDescent="0.3">
      <c r="P194">
        <v>0</v>
      </c>
      <c r="R194">
        <v>7944.3</v>
      </c>
      <c r="T194">
        <v>-7944.3</v>
      </c>
      <c r="V194">
        <v>0</v>
      </c>
    </row>
    <row r="195" spans="1:25" ht="25.95" customHeight="1" x14ac:dyDescent="0.3">
      <c r="A195">
        <v>1049</v>
      </c>
      <c r="C195" t="s">
        <v>425</v>
      </c>
    </row>
    <row r="196" spans="1:25" ht="15" customHeight="1" x14ac:dyDescent="0.3">
      <c r="C196" t="s">
        <v>340</v>
      </c>
      <c r="K196" t="s">
        <v>341</v>
      </c>
      <c r="L196" t="s">
        <v>342</v>
      </c>
      <c r="Q196" t="s">
        <v>343</v>
      </c>
      <c r="S196" t="s">
        <v>344</v>
      </c>
      <c r="U196" t="s">
        <v>345</v>
      </c>
      <c r="X196" t="s">
        <v>346</v>
      </c>
    </row>
    <row r="197" spans="1:25" ht="18" customHeight="1" x14ac:dyDescent="0.3">
      <c r="A197">
        <v>1174</v>
      </c>
      <c r="I197" t="s">
        <v>347</v>
      </c>
      <c r="M197">
        <v>7261.64</v>
      </c>
      <c r="R197">
        <v>7261.64</v>
      </c>
      <c r="T197">
        <v>0</v>
      </c>
      <c r="V197">
        <v>0</v>
      </c>
    </row>
    <row r="198" spans="1:25" ht="11.25" customHeight="1" x14ac:dyDescent="0.3">
      <c r="M198">
        <v>7261.64</v>
      </c>
      <c r="R198">
        <v>7261.64</v>
      </c>
      <c r="T198">
        <v>0</v>
      </c>
      <c r="V198">
        <v>0</v>
      </c>
    </row>
    <row r="199" spans="1:25" ht="25.95" customHeight="1" x14ac:dyDescent="0.3">
      <c r="A199" t="s">
        <v>426</v>
      </c>
      <c r="H199" t="s">
        <v>427</v>
      </c>
    </row>
    <row r="200" spans="1:25" ht="13.05" customHeight="1" x14ac:dyDescent="0.3">
      <c r="A200" t="s">
        <v>340</v>
      </c>
      <c r="I200" t="s">
        <v>341</v>
      </c>
      <c r="M200" t="s">
        <v>342</v>
      </c>
      <c r="R200" t="s">
        <v>343</v>
      </c>
      <c r="T200" t="s">
        <v>344</v>
      </c>
      <c r="V200" t="s">
        <v>345</v>
      </c>
      <c r="Y200" t="s">
        <v>346</v>
      </c>
    </row>
    <row r="201" spans="1:25" ht="15" customHeight="1" x14ac:dyDescent="0.3">
      <c r="A201">
        <v>1065</v>
      </c>
      <c r="I201" t="s">
        <v>347</v>
      </c>
      <c r="M201">
        <v>2301.37</v>
      </c>
      <c r="R201">
        <v>2301.37</v>
      </c>
      <c r="T201">
        <v>0</v>
      </c>
      <c r="V201">
        <v>0</v>
      </c>
    </row>
    <row r="202" spans="1:25" ht="18" customHeight="1" x14ac:dyDescent="0.3">
      <c r="A202">
        <v>1202</v>
      </c>
      <c r="I202" t="s">
        <v>347</v>
      </c>
      <c r="M202">
        <v>3057.53</v>
      </c>
      <c r="R202">
        <v>3057.53</v>
      </c>
      <c r="T202">
        <v>0</v>
      </c>
      <c r="V202">
        <v>0</v>
      </c>
    </row>
    <row r="203" spans="1:25" ht="11.25" customHeight="1" x14ac:dyDescent="0.3">
      <c r="M203">
        <v>5358.9</v>
      </c>
      <c r="R203">
        <v>5358.9</v>
      </c>
      <c r="T203">
        <v>0</v>
      </c>
      <c r="V203">
        <v>0</v>
      </c>
    </row>
    <row r="204" spans="1:25" ht="25.95" customHeight="1" x14ac:dyDescent="0.3">
      <c r="A204">
        <v>1054</v>
      </c>
      <c r="C204" t="s">
        <v>428</v>
      </c>
    </row>
    <row r="205" spans="1:25" ht="13.05" customHeight="1" x14ac:dyDescent="0.3">
      <c r="C205" t="s">
        <v>340</v>
      </c>
      <c r="K205" t="s">
        <v>341</v>
      </c>
      <c r="L205" t="s">
        <v>342</v>
      </c>
      <c r="Q205" t="s">
        <v>343</v>
      </c>
      <c r="S205" t="s">
        <v>344</v>
      </c>
      <c r="U205" t="s">
        <v>345</v>
      </c>
      <c r="X205" t="s">
        <v>346</v>
      </c>
    </row>
    <row r="206" spans="1:25" ht="12" customHeight="1" x14ac:dyDescent="0.3">
      <c r="A206" t="s">
        <v>429</v>
      </c>
      <c r="M206">
        <v>114.66</v>
      </c>
      <c r="R206">
        <v>114.66</v>
      </c>
      <c r="T206">
        <v>0</v>
      </c>
      <c r="V206">
        <v>0</v>
      </c>
    </row>
    <row r="207" spans="1:25" ht="13.95" customHeight="1" x14ac:dyDescent="0.3">
      <c r="A207" t="s">
        <v>430</v>
      </c>
      <c r="M207">
        <v>114.66</v>
      </c>
      <c r="R207">
        <v>114.66</v>
      </c>
      <c r="T207">
        <v>0</v>
      </c>
      <c r="V207">
        <v>0</v>
      </c>
    </row>
    <row r="208" spans="1:25" ht="18" customHeight="1" x14ac:dyDescent="0.3">
      <c r="A208" t="s">
        <v>431</v>
      </c>
      <c r="M208">
        <v>387.5</v>
      </c>
      <c r="R208">
        <v>387.5</v>
      </c>
      <c r="T208">
        <v>0</v>
      </c>
      <c r="V208">
        <v>0</v>
      </c>
    </row>
    <row r="209" spans="1:25" ht="12" customHeight="1" x14ac:dyDescent="0.3">
      <c r="M209">
        <v>616.82000000000005</v>
      </c>
      <c r="R209">
        <v>616.82000000000005</v>
      </c>
      <c r="T209">
        <v>0</v>
      </c>
      <c r="V209">
        <v>0</v>
      </c>
    </row>
    <row r="210" spans="1:25" ht="25.05" customHeight="1" x14ac:dyDescent="0.3">
      <c r="A210" t="s">
        <v>432</v>
      </c>
    </row>
    <row r="211" spans="1:25" ht="16.05" customHeight="1" x14ac:dyDescent="0.3">
      <c r="A211" t="s">
        <v>365</v>
      </c>
      <c r="M211" t="s">
        <v>342</v>
      </c>
      <c r="R211" t="s">
        <v>343</v>
      </c>
      <c r="T211" t="s">
        <v>344</v>
      </c>
      <c r="V211" t="s">
        <v>345</v>
      </c>
      <c r="Y211" t="s">
        <v>346</v>
      </c>
    </row>
    <row r="212" spans="1:25" ht="11.25" customHeight="1" x14ac:dyDescent="0.3">
      <c r="A212" t="s">
        <v>433</v>
      </c>
      <c r="M212">
        <v>13376.71</v>
      </c>
      <c r="R212">
        <v>13376.71</v>
      </c>
      <c r="T212">
        <v>0</v>
      </c>
      <c r="V212">
        <v>0</v>
      </c>
    </row>
    <row r="213" spans="1:25" ht="11.25" customHeight="1" x14ac:dyDescent="0.3">
      <c r="M213">
        <v>13376.71</v>
      </c>
      <c r="R213">
        <v>13376.71</v>
      </c>
      <c r="T213">
        <v>0</v>
      </c>
      <c r="V213">
        <v>0</v>
      </c>
    </row>
    <row r="214" spans="1:25" ht="6" customHeight="1" x14ac:dyDescent="0.3">
      <c r="B214" t="s">
        <v>434</v>
      </c>
    </row>
    <row r="215" spans="1:25" ht="35.549999999999997" customHeight="1" x14ac:dyDescent="0.3"/>
    <row r="216" spans="1:25" ht="18" customHeight="1" x14ac:dyDescent="0.3">
      <c r="A216" t="s">
        <v>435</v>
      </c>
      <c r="I216" t="s">
        <v>356</v>
      </c>
      <c r="M216" t="s">
        <v>436</v>
      </c>
      <c r="R216" t="s">
        <v>437</v>
      </c>
      <c r="T216" t="s">
        <v>359</v>
      </c>
      <c r="V216" t="s">
        <v>360</v>
      </c>
      <c r="Y216" t="s">
        <v>346</v>
      </c>
    </row>
    <row r="217" spans="1:25" ht="11.25" customHeight="1" x14ac:dyDescent="0.3">
      <c r="M217">
        <v>7643.84</v>
      </c>
      <c r="R217">
        <v>7643.84</v>
      </c>
      <c r="T217">
        <v>0</v>
      </c>
      <c r="V217">
        <v>0</v>
      </c>
    </row>
    <row r="218" spans="1:25" ht="25.95" customHeight="1" x14ac:dyDescent="0.3">
      <c r="A218" t="s">
        <v>438</v>
      </c>
    </row>
    <row r="219" spans="1:25" ht="13.05" customHeight="1" x14ac:dyDescent="0.3">
      <c r="C219" t="s">
        <v>340</v>
      </c>
      <c r="J219" t="s">
        <v>341</v>
      </c>
      <c r="L219" t="s">
        <v>342</v>
      </c>
      <c r="Q219" t="s">
        <v>343</v>
      </c>
      <c r="S219" t="s">
        <v>344</v>
      </c>
      <c r="U219" t="s">
        <v>345</v>
      </c>
      <c r="X219" t="s">
        <v>346</v>
      </c>
    </row>
    <row r="220" spans="1:25" ht="15" customHeight="1" x14ac:dyDescent="0.3">
      <c r="A220" t="s">
        <v>439</v>
      </c>
      <c r="M220">
        <v>2465.75</v>
      </c>
      <c r="R220">
        <v>2465.75</v>
      </c>
      <c r="T220">
        <v>0</v>
      </c>
      <c r="V220">
        <v>0</v>
      </c>
    </row>
    <row r="221" spans="1:25" ht="18" customHeight="1" x14ac:dyDescent="0.3">
      <c r="A221" t="s">
        <v>440</v>
      </c>
      <c r="M221">
        <v>2465.75</v>
      </c>
      <c r="R221">
        <v>2465.75</v>
      </c>
      <c r="T221">
        <v>0</v>
      </c>
      <c r="V221">
        <v>0</v>
      </c>
    </row>
    <row r="222" spans="1:25" ht="11.25" customHeight="1" x14ac:dyDescent="0.3">
      <c r="M222">
        <v>4931.5</v>
      </c>
      <c r="R222">
        <v>4931.5</v>
      </c>
      <c r="T222">
        <v>0</v>
      </c>
      <c r="V222">
        <v>0</v>
      </c>
    </row>
    <row r="223" spans="1:25" ht="25.05" customHeight="1" x14ac:dyDescent="0.3">
      <c r="A223" t="s">
        <v>441</v>
      </c>
    </row>
    <row r="224" spans="1:25" ht="16.05" customHeight="1" x14ac:dyDescent="0.3">
      <c r="A224" t="s">
        <v>365</v>
      </c>
      <c r="M224" t="s">
        <v>342</v>
      </c>
      <c r="R224" t="s">
        <v>343</v>
      </c>
      <c r="T224" t="s">
        <v>344</v>
      </c>
      <c r="V224" t="s">
        <v>345</v>
      </c>
      <c r="Y224" t="s">
        <v>346</v>
      </c>
    </row>
    <row r="225" spans="1:25" ht="18" customHeight="1" x14ac:dyDescent="0.3">
      <c r="A225" t="s">
        <v>442</v>
      </c>
      <c r="M225">
        <v>3287.67</v>
      </c>
      <c r="R225">
        <v>3287.67</v>
      </c>
      <c r="T225">
        <v>0</v>
      </c>
      <c r="V225">
        <v>0</v>
      </c>
    </row>
    <row r="226" spans="1:25" ht="11.25" customHeight="1" x14ac:dyDescent="0.3">
      <c r="M226">
        <v>3287.67</v>
      </c>
      <c r="R226">
        <v>3287.67</v>
      </c>
      <c r="T226">
        <v>0</v>
      </c>
      <c r="V226">
        <v>0</v>
      </c>
    </row>
    <row r="227" spans="1:25" ht="25.95" customHeight="1" x14ac:dyDescent="0.3">
      <c r="A227" t="s">
        <v>443</v>
      </c>
    </row>
    <row r="228" spans="1:25" ht="16.05" customHeight="1" x14ac:dyDescent="0.3">
      <c r="A228" t="s">
        <v>365</v>
      </c>
      <c r="M228" t="s">
        <v>342</v>
      </c>
      <c r="R228" t="s">
        <v>343</v>
      </c>
      <c r="T228" t="s">
        <v>344</v>
      </c>
      <c r="V228" t="s">
        <v>345</v>
      </c>
      <c r="Y228" t="s">
        <v>346</v>
      </c>
    </row>
    <row r="229" spans="1:25" ht="18" customHeight="1" x14ac:dyDescent="0.3">
      <c r="A229" t="s">
        <v>444</v>
      </c>
      <c r="M229">
        <v>0</v>
      </c>
      <c r="R229">
        <v>181.6</v>
      </c>
      <c r="T229">
        <v>-181.6</v>
      </c>
      <c r="V229">
        <v>0</v>
      </c>
    </row>
    <row r="230" spans="1:25" ht="11.25" customHeight="1" x14ac:dyDescent="0.3">
      <c r="M230">
        <v>0</v>
      </c>
      <c r="R230">
        <v>181.6</v>
      </c>
      <c r="T230">
        <v>-181.6</v>
      </c>
      <c r="V230">
        <v>0</v>
      </c>
    </row>
    <row r="231" spans="1:25" ht="25.95" customHeight="1" x14ac:dyDescent="0.3">
      <c r="A231" t="s">
        <v>445</v>
      </c>
    </row>
    <row r="232" spans="1:25" ht="13.05" customHeight="1" x14ac:dyDescent="0.3">
      <c r="C232" t="s">
        <v>340</v>
      </c>
      <c r="J232" t="s">
        <v>341</v>
      </c>
      <c r="L232" t="s">
        <v>342</v>
      </c>
      <c r="Q232" t="s">
        <v>343</v>
      </c>
      <c r="S232" t="s">
        <v>344</v>
      </c>
      <c r="U232" t="s">
        <v>345</v>
      </c>
      <c r="X232" t="s">
        <v>346</v>
      </c>
    </row>
    <row r="233" spans="1:25" ht="12" customHeight="1" x14ac:dyDescent="0.3">
      <c r="A233" t="s">
        <v>446</v>
      </c>
      <c r="M233">
        <v>12698.63</v>
      </c>
      <c r="R233">
        <v>12698.63</v>
      </c>
      <c r="T233">
        <v>0</v>
      </c>
      <c r="V233">
        <v>0</v>
      </c>
    </row>
    <row r="234" spans="1:25" ht="13.95" customHeight="1" x14ac:dyDescent="0.3">
      <c r="A234" t="s">
        <v>447</v>
      </c>
      <c r="M234">
        <v>6772.6</v>
      </c>
      <c r="R234">
        <v>6772.6</v>
      </c>
      <c r="T234">
        <v>0</v>
      </c>
      <c r="V234">
        <v>0</v>
      </c>
    </row>
    <row r="235" spans="1:25" ht="18" customHeight="1" x14ac:dyDescent="0.3">
      <c r="A235" t="s">
        <v>448</v>
      </c>
      <c r="M235">
        <v>16931.509999999998</v>
      </c>
      <c r="R235">
        <v>16931.509999999998</v>
      </c>
      <c r="T235">
        <v>0</v>
      </c>
      <c r="V235">
        <v>0</v>
      </c>
    </row>
    <row r="236" spans="1:25" ht="11.25" customHeight="1" x14ac:dyDescent="0.3">
      <c r="M236">
        <v>36402.74</v>
      </c>
      <c r="R236">
        <v>36402.74</v>
      </c>
      <c r="T236">
        <v>0</v>
      </c>
      <c r="V236">
        <v>0</v>
      </c>
    </row>
    <row r="237" spans="1:25" ht="25.95" customHeight="1" x14ac:dyDescent="0.3">
      <c r="A237" t="s">
        <v>449</v>
      </c>
    </row>
    <row r="238" spans="1:25" ht="16.05" customHeight="1" x14ac:dyDescent="0.3">
      <c r="A238" t="s">
        <v>365</v>
      </c>
      <c r="M238" t="s">
        <v>342</v>
      </c>
      <c r="R238" t="s">
        <v>343</v>
      </c>
      <c r="T238" t="s">
        <v>344</v>
      </c>
      <c r="V238" t="s">
        <v>345</v>
      </c>
      <c r="Y238" t="s">
        <v>346</v>
      </c>
    </row>
    <row r="239" spans="1:25" ht="18" customHeight="1" x14ac:dyDescent="0.3">
      <c r="A239" t="s">
        <v>450</v>
      </c>
      <c r="M239">
        <v>5079.45</v>
      </c>
      <c r="R239">
        <v>5079.45</v>
      </c>
      <c r="T239">
        <v>0</v>
      </c>
      <c r="V239">
        <v>0</v>
      </c>
    </row>
    <row r="240" spans="1:25" ht="11.25" customHeight="1" x14ac:dyDescent="0.3">
      <c r="M240">
        <v>5079.45</v>
      </c>
      <c r="R240">
        <v>5079.45</v>
      </c>
      <c r="T240">
        <v>0</v>
      </c>
      <c r="V240">
        <v>0</v>
      </c>
    </row>
    <row r="241" spans="1:25" ht="25.95" customHeight="1" x14ac:dyDescent="0.3">
      <c r="A241" t="s">
        <v>451</v>
      </c>
    </row>
    <row r="242" spans="1:25" ht="13.05" customHeight="1" x14ac:dyDescent="0.3">
      <c r="C242" t="s">
        <v>340</v>
      </c>
      <c r="J242" t="s">
        <v>341</v>
      </c>
      <c r="L242" t="s">
        <v>342</v>
      </c>
      <c r="Q242" t="s">
        <v>343</v>
      </c>
      <c r="S242" t="s">
        <v>344</v>
      </c>
      <c r="U242" t="s">
        <v>345</v>
      </c>
      <c r="X242" t="s">
        <v>346</v>
      </c>
    </row>
    <row r="243" spans="1:25" ht="13.95" customHeight="1" x14ac:dyDescent="0.3">
      <c r="A243" t="s">
        <v>452</v>
      </c>
      <c r="M243">
        <v>0</v>
      </c>
      <c r="R243">
        <v>3250.84</v>
      </c>
      <c r="T243">
        <v>-3250.84</v>
      </c>
      <c r="V243">
        <v>0</v>
      </c>
    </row>
    <row r="244" spans="1:25" ht="18" customHeight="1" x14ac:dyDescent="0.3">
      <c r="A244" t="s">
        <v>453</v>
      </c>
      <c r="M244">
        <v>1972.6</v>
      </c>
      <c r="R244">
        <v>1972.6</v>
      </c>
      <c r="T244">
        <v>0</v>
      </c>
      <c r="V244">
        <v>0</v>
      </c>
    </row>
    <row r="245" spans="1:25" ht="11.25" customHeight="1" x14ac:dyDescent="0.3">
      <c r="M245">
        <v>1972.6</v>
      </c>
      <c r="R245">
        <v>5223.4399999999996</v>
      </c>
      <c r="T245">
        <v>-3250.84</v>
      </c>
      <c r="V245">
        <v>0</v>
      </c>
    </row>
    <row r="246" spans="1:25" ht="25.95" customHeight="1" x14ac:dyDescent="0.3">
      <c r="A246" t="s">
        <v>454</v>
      </c>
    </row>
    <row r="247" spans="1:25" ht="16.05" customHeight="1" x14ac:dyDescent="0.3">
      <c r="A247" t="s">
        <v>365</v>
      </c>
      <c r="M247" t="s">
        <v>342</v>
      </c>
      <c r="R247" t="s">
        <v>343</v>
      </c>
      <c r="T247" t="s">
        <v>344</v>
      </c>
      <c r="V247" t="s">
        <v>345</v>
      </c>
      <c r="Y247" t="s">
        <v>346</v>
      </c>
    </row>
    <row r="248" spans="1:25" ht="18" customHeight="1" x14ac:dyDescent="0.3">
      <c r="A248" t="s">
        <v>455</v>
      </c>
      <c r="M248">
        <v>3821.92</v>
      </c>
      <c r="R248">
        <v>3821.92</v>
      </c>
      <c r="T248">
        <v>0</v>
      </c>
      <c r="V248">
        <v>0</v>
      </c>
    </row>
    <row r="249" spans="1:25" ht="11.25" customHeight="1" x14ac:dyDescent="0.3">
      <c r="M249">
        <v>3821.92</v>
      </c>
      <c r="R249">
        <v>3821.92</v>
      </c>
      <c r="T249">
        <v>0</v>
      </c>
      <c r="V249">
        <v>0</v>
      </c>
    </row>
    <row r="250" spans="1:25" ht="25.95" customHeight="1" x14ac:dyDescent="0.3">
      <c r="A250" t="s">
        <v>456</v>
      </c>
    </row>
    <row r="251" spans="1:25" ht="15" customHeight="1" x14ac:dyDescent="0.3">
      <c r="C251" t="s">
        <v>340</v>
      </c>
      <c r="J251" t="s">
        <v>341</v>
      </c>
      <c r="L251" t="s">
        <v>342</v>
      </c>
      <c r="Q251" t="s">
        <v>343</v>
      </c>
      <c r="S251" t="s">
        <v>344</v>
      </c>
      <c r="U251" t="s">
        <v>345</v>
      </c>
      <c r="X251" t="s">
        <v>346</v>
      </c>
    </row>
    <row r="252" spans="1:25" ht="11.25" customHeight="1" x14ac:dyDescent="0.3">
      <c r="A252">
        <v>1144</v>
      </c>
      <c r="I252" t="s">
        <v>347</v>
      </c>
      <c r="M252">
        <v>5810.96</v>
      </c>
      <c r="R252">
        <v>5810.96</v>
      </c>
      <c r="T252">
        <v>0</v>
      </c>
      <c r="V252">
        <v>0</v>
      </c>
    </row>
    <row r="253" spans="1:25" ht="11.25" customHeight="1" x14ac:dyDescent="0.3">
      <c r="M253">
        <v>5810.96</v>
      </c>
      <c r="R253">
        <v>5810.96</v>
      </c>
      <c r="T253">
        <v>0</v>
      </c>
      <c r="V253">
        <v>0</v>
      </c>
    </row>
    <row r="254" spans="1:25" ht="6" customHeight="1" x14ac:dyDescent="0.3">
      <c r="B254" t="s">
        <v>457</v>
      </c>
    </row>
    <row r="255" spans="1:25" ht="35.549999999999997" customHeight="1" x14ac:dyDescent="0.3"/>
    <row r="256" spans="1:25" ht="18" customHeight="1" x14ac:dyDescent="0.3">
      <c r="A256" t="s">
        <v>458</v>
      </c>
      <c r="I256" t="s">
        <v>356</v>
      </c>
      <c r="M256" t="s">
        <v>459</v>
      </c>
      <c r="R256" t="s">
        <v>460</v>
      </c>
      <c r="T256" t="s">
        <v>359</v>
      </c>
      <c r="V256" t="s">
        <v>360</v>
      </c>
      <c r="Y256" t="s">
        <v>346</v>
      </c>
    </row>
    <row r="257" spans="1:25" ht="11.25" customHeight="1" x14ac:dyDescent="0.3">
      <c r="M257">
        <v>6115.07</v>
      </c>
      <c r="R257">
        <v>6115.07</v>
      </c>
      <c r="T257">
        <v>0</v>
      </c>
      <c r="V257">
        <v>0</v>
      </c>
    </row>
    <row r="258" spans="1:25" ht="25.95" customHeight="1" x14ac:dyDescent="0.3">
      <c r="A258">
        <v>1069</v>
      </c>
      <c r="C258" t="s">
        <v>461</v>
      </c>
    </row>
    <row r="259" spans="1:25" ht="13.05" customHeight="1" x14ac:dyDescent="0.3">
      <c r="C259" t="s">
        <v>340</v>
      </c>
      <c r="J259" t="s">
        <v>341</v>
      </c>
      <c r="L259" t="s">
        <v>342</v>
      </c>
      <c r="Q259" t="s">
        <v>343</v>
      </c>
      <c r="S259" t="s">
        <v>344</v>
      </c>
      <c r="U259" t="s">
        <v>345</v>
      </c>
      <c r="X259" t="s">
        <v>346</v>
      </c>
    </row>
    <row r="260" spans="1:25" ht="15" customHeight="1" x14ac:dyDescent="0.3">
      <c r="A260" t="s">
        <v>462</v>
      </c>
      <c r="M260">
        <v>2958.9</v>
      </c>
      <c r="R260">
        <v>2958.9</v>
      </c>
      <c r="T260">
        <v>0</v>
      </c>
      <c r="V260">
        <v>0</v>
      </c>
    </row>
    <row r="261" spans="1:25" ht="18" customHeight="1" x14ac:dyDescent="0.3">
      <c r="A261" t="s">
        <v>463</v>
      </c>
      <c r="M261">
        <v>1479.45</v>
      </c>
      <c r="R261">
        <v>1479.45</v>
      </c>
      <c r="T261">
        <v>0</v>
      </c>
      <c r="V261">
        <v>0</v>
      </c>
    </row>
    <row r="262" spans="1:25" ht="11.25" customHeight="1" x14ac:dyDescent="0.3">
      <c r="M262">
        <v>4438.3500000000004</v>
      </c>
      <c r="R262">
        <v>4438.3500000000004</v>
      </c>
      <c r="T262">
        <v>0</v>
      </c>
      <c r="V262">
        <v>0</v>
      </c>
    </row>
    <row r="263" spans="1:25" ht="25.05" customHeight="1" x14ac:dyDescent="0.3">
      <c r="A263" t="s">
        <v>464</v>
      </c>
    </row>
    <row r="264" spans="1:25" ht="16.05" customHeight="1" x14ac:dyDescent="0.3">
      <c r="A264" t="s">
        <v>365</v>
      </c>
      <c r="M264" t="s">
        <v>342</v>
      </c>
      <c r="R264" t="s">
        <v>343</v>
      </c>
      <c r="T264" t="s">
        <v>344</v>
      </c>
      <c r="V264" t="s">
        <v>345</v>
      </c>
      <c r="Y264" t="s">
        <v>346</v>
      </c>
    </row>
    <row r="265" spans="1:25" ht="18" customHeight="1" x14ac:dyDescent="0.3">
      <c r="A265" t="s">
        <v>465</v>
      </c>
      <c r="M265">
        <v>1380.82</v>
      </c>
      <c r="R265">
        <v>1380.82</v>
      </c>
      <c r="T265">
        <v>0</v>
      </c>
      <c r="V265">
        <v>0</v>
      </c>
    </row>
    <row r="266" spans="1:25" ht="11.25" customHeight="1" x14ac:dyDescent="0.3">
      <c r="M266">
        <v>1380.82</v>
      </c>
      <c r="R266">
        <v>1380.82</v>
      </c>
      <c r="T266">
        <v>0</v>
      </c>
      <c r="V266">
        <v>0</v>
      </c>
    </row>
    <row r="267" spans="1:25" ht="25.95" customHeight="1" x14ac:dyDescent="0.3">
      <c r="A267" t="s">
        <v>466</v>
      </c>
    </row>
    <row r="268" spans="1:25" ht="16.05" customHeight="1" x14ac:dyDescent="0.3">
      <c r="A268" t="s">
        <v>365</v>
      </c>
      <c r="M268" t="s">
        <v>342</v>
      </c>
      <c r="R268" t="s">
        <v>343</v>
      </c>
      <c r="T268" t="s">
        <v>344</v>
      </c>
      <c r="V268" t="s">
        <v>345</v>
      </c>
      <c r="Y268" t="s">
        <v>346</v>
      </c>
    </row>
    <row r="269" spans="1:25" ht="18" customHeight="1" x14ac:dyDescent="0.3">
      <c r="A269" t="s">
        <v>467</v>
      </c>
      <c r="M269">
        <v>1315.07</v>
      </c>
      <c r="R269">
        <v>1315.07</v>
      </c>
      <c r="T269">
        <v>0</v>
      </c>
      <c r="V269">
        <v>0</v>
      </c>
    </row>
    <row r="270" spans="1:25" ht="11.25" customHeight="1" x14ac:dyDescent="0.3">
      <c r="M270">
        <v>1315.07</v>
      </c>
      <c r="R270">
        <v>1315.07</v>
      </c>
      <c r="T270">
        <v>0</v>
      </c>
      <c r="V270">
        <v>0</v>
      </c>
    </row>
    <row r="271" spans="1:25" ht="25.05" customHeight="1" x14ac:dyDescent="0.3">
      <c r="A271" t="s">
        <v>468</v>
      </c>
    </row>
    <row r="272" spans="1:25" ht="13.95" customHeight="1" x14ac:dyDescent="0.3">
      <c r="A272" t="s">
        <v>365</v>
      </c>
      <c r="M272" t="s">
        <v>342</v>
      </c>
      <c r="R272" t="s">
        <v>343</v>
      </c>
      <c r="T272" t="s">
        <v>344</v>
      </c>
      <c r="V272" t="s">
        <v>345</v>
      </c>
      <c r="Y272" t="s">
        <v>346</v>
      </c>
    </row>
    <row r="273" spans="1:25" ht="13.95" customHeight="1" x14ac:dyDescent="0.3">
      <c r="A273" t="s">
        <v>469</v>
      </c>
      <c r="M273">
        <v>7643.84</v>
      </c>
      <c r="R273">
        <v>7643.84</v>
      </c>
      <c r="T273">
        <v>0</v>
      </c>
      <c r="V273">
        <v>0</v>
      </c>
    </row>
    <row r="274" spans="1:25" ht="18" customHeight="1" x14ac:dyDescent="0.3">
      <c r="A274" t="s">
        <v>470</v>
      </c>
      <c r="M274">
        <v>7643.84</v>
      </c>
      <c r="R274">
        <v>7643.84</v>
      </c>
      <c r="T274">
        <v>0</v>
      </c>
      <c r="V274">
        <v>0</v>
      </c>
    </row>
    <row r="275" spans="1:25" ht="11.25" customHeight="1" x14ac:dyDescent="0.3">
      <c r="M275">
        <v>15287.68</v>
      </c>
      <c r="R275">
        <v>15287.68</v>
      </c>
      <c r="T275">
        <v>0</v>
      </c>
      <c r="V275">
        <v>0</v>
      </c>
    </row>
    <row r="276" spans="1:25" ht="25.95" customHeight="1" x14ac:dyDescent="0.3">
      <c r="A276">
        <v>1073</v>
      </c>
      <c r="C276" t="s">
        <v>471</v>
      </c>
    </row>
    <row r="277" spans="1:25" ht="16.05" customHeight="1" x14ac:dyDescent="0.3">
      <c r="C277" t="s">
        <v>340</v>
      </c>
      <c r="J277" t="s">
        <v>341</v>
      </c>
      <c r="L277" t="s">
        <v>342</v>
      </c>
      <c r="Q277" t="s">
        <v>343</v>
      </c>
      <c r="S277" t="s">
        <v>344</v>
      </c>
      <c r="U277" t="s">
        <v>345</v>
      </c>
      <c r="X277" t="s">
        <v>346</v>
      </c>
    </row>
    <row r="278" spans="1:25" ht="18" customHeight="1" x14ac:dyDescent="0.3">
      <c r="A278" t="s">
        <v>472</v>
      </c>
      <c r="M278">
        <v>1299.45</v>
      </c>
      <c r="R278">
        <v>1299.45</v>
      </c>
      <c r="T278">
        <v>0</v>
      </c>
      <c r="V278">
        <v>0</v>
      </c>
    </row>
    <row r="279" spans="1:25" ht="11.25" customHeight="1" x14ac:dyDescent="0.3">
      <c r="M279">
        <v>1299.45</v>
      </c>
      <c r="R279">
        <v>1299.45</v>
      </c>
      <c r="T279">
        <v>0</v>
      </c>
      <c r="V279">
        <v>0</v>
      </c>
    </row>
    <row r="280" spans="1:25" ht="25.05" customHeight="1" x14ac:dyDescent="0.3">
      <c r="A280" t="s">
        <v>473</v>
      </c>
    </row>
    <row r="281" spans="1:25" ht="16.05" customHeight="1" x14ac:dyDescent="0.3">
      <c r="A281" t="s">
        <v>365</v>
      </c>
      <c r="M281" t="s">
        <v>342</v>
      </c>
      <c r="R281" t="s">
        <v>343</v>
      </c>
      <c r="T281" t="s">
        <v>344</v>
      </c>
      <c r="V281" t="s">
        <v>345</v>
      </c>
      <c r="Y281" t="s">
        <v>346</v>
      </c>
    </row>
    <row r="282" spans="1:25" ht="18" customHeight="1" x14ac:dyDescent="0.3">
      <c r="A282" t="s">
        <v>474</v>
      </c>
      <c r="M282">
        <v>1232.8800000000001</v>
      </c>
      <c r="R282">
        <v>1232.8800000000001</v>
      </c>
      <c r="T282">
        <v>0</v>
      </c>
      <c r="V282">
        <v>0</v>
      </c>
    </row>
    <row r="283" spans="1:25" ht="11.25" customHeight="1" x14ac:dyDescent="0.3">
      <c r="M283">
        <v>1232.8800000000001</v>
      </c>
      <c r="R283">
        <v>1232.8800000000001</v>
      </c>
      <c r="T283">
        <v>0</v>
      </c>
      <c r="V283">
        <v>0</v>
      </c>
    </row>
    <row r="284" spans="1:25" ht="25.95" customHeight="1" x14ac:dyDescent="0.3">
      <c r="A284" t="s">
        <v>475</v>
      </c>
    </row>
    <row r="285" spans="1:25" ht="16.05" customHeight="1" x14ac:dyDescent="0.3">
      <c r="A285" t="s">
        <v>365</v>
      </c>
      <c r="M285" t="s">
        <v>342</v>
      </c>
      <c r="R285" t="s">
        <v>343</v>
      </c>
      <c r="T285" t="s">
        <v>344</v>
      </c>
      <c r="V285" t="s">
        <v>345</v>
      </c>
      <c r="Y285" t="s">
        <v>346</v>
      </c>
    </row>
    <row r="286" spans="1:25" ht="18" customHeight="1" x14ac:dyDescent="0.3">
      <c r="A286" t="s">
        <v>476</v>
      </c>
      <c r="M286">
        <v>4109.59</v>
      </c>
      <c r="R286">
        <v>4109.59</v>
      </c>
      <c r="T286">
        <v>0</v>
      </c>
      <c r="V286">
        <v>0</v>
      </c>
    </row>
    <row r="287" spans="1:25" ht="11.25" customHeight="1" x14ac:dyDescent="0.3">
      <c r="M287">
        <v>4109.59</v>
      </c>
      <c r="R287">
        <v>4109.59</v>
      </c>
      <c r="T287">
        <v>0</v>
      </c>
      <c r="V287">
        <v>0</v>
      </c>
    </row>
    <row r="288" spans="1:25" ht="25.05" customHeight="1" x14ac:dyDescent="0.3">
      <c r="A288" t="s">
        <v>477</v>
      </c>
    </row>
    <row r="289" spans="1:25" ht="13.95" customHeight="1" x14ac:dyDescent="0.3">
      <c r="A289" t="s">
        <v>365</v>
      </c>
      <c r="M289" t="s">
        <v>342</v>
      </c>
      <c r="R289" t="s">
        <v>343</v>
      </c>
      <c r="T289" t="s">
        <v>344</v>
      </c>
      <c r="V289" t="s">
        <v>345</v>
      </c>
      <c r="Y289" t="s">
        <v>346</v>
      </c>
    </row>
    <row r="290" spans="1:25" ht="12" customHeight="1" x14ac:dyDescent="0.3">
      <c r="A290" t="s">
        <v>478</v>
      </c>
      <c r="M290">
        <v>0</v>
      </c>
      <c r="R290">
        <v>3274.27</v>
      </c>
      <c r="T290">
        <v>-3274.27</v>
      </c>
      <c r="V290">
        <v>0</v>
      </c>
    </row>
    <row r="291" spans="1:25" ht="13.95" customHeight="1" x14ac:dyDescent="0.3">
      <c r="A291" t="s">
        <v>479</v>
      </c>
      <c r="M291">
        <v>0</v>
      </c>
      <c r="R291">
        <v>109.24</v>
      </c>
      <c r="T291">
        <v>-109.24</v>
      </c>
      <c r="V291">
        <v>0</v>
      </c>
    </row>
    <row r="292" spans="1:25" ht="11.25" customHeight="1" x14ac:dyDescent="0.3">
      <c r="A292" t="s">
        <v>480</v>
      </c>
      <c r="M292">
        <v>0</v>
      </c>
      <c r="R292">
        <v>1149.5</v>
      </c>
      <c r="T292">
        <v>-1149.5</v>
      </c>
      <c r="V292">
        <v>0</v>
      </c>
    </row>
    <row r="293" spans="1:25" ht="11.25" customHeight="1" x14ac:dyDescent="0.3">
      <c r="M293">
        <v>0</v>
      </c>
      <c r="R293">
        <v>4533.01</v>
      </c>
      <c r="T293">
        <v>-4533.01</v>
      </c>
      <c r="V293">
        <v>0</v>
      </c>
    </row>
    <row r="294" spans="1:25" ht="25.05" customHeight="1" x14ac:dyDescent="0.3">
      <c r="A294" t="s">
        <v>481</v>
      </c>
    </row>
    <row r="295" spans="1:25" ht="13.95" customHeight="1" x14ac:dyDescent="0.3">
      <c r="A295" t="s">
        <v>365</v>
      </c>
      <c r="P295" t="s">
        <v>342</v>
      </c>
      <c r="R295" t="s">
        <v>343</v>
      </c>
      <c r="T295" t="s">
        <v>344</v>
      </c>
      <c r="V295" t="s">
        <v>345</v>
      </c>
      <c r="Y295" t="s">
        <v>346</v>
      </c>
    </row>
    <row r="296" spans="1:25" ht="13.95" customHeight="1" x14ac:dyDescent="0.3">
      <c r="A296" t="s">
        <v>482</v>
      </c>
      <c r="P296">
        <v>764.38</v>
      </c>
      <c r="R296">
        <v>764.38</v>
      </c>
      <c r="T296">
        <v>0</v>
      </c>
      <c r="V296">
        <v>0</v>
      </c>
    </row>
    <row r="297" spans="1:25" ht="18" customHeight="1" x14ac:dyDescent="0.3">
      <c r="A297" t="s">
        <v>483</v>
      </c>
      <c r="P297">
        <v>4968.49</v>
      </c>
      <c r="R297">
        <v>4968.49</v>
      </c>
      <c r="T297">
        <v>0</v>
      </c>
      <c r="V297">
        <v>0</v>
      </c>
    </row>
    <row r="298" spans="1:25" ht="12" customHeight="1" x14ac:dyDescent="0.3">
      <c r="P298">
        <v>5732.87</v>
      </c>
      <c r="R298">
        <v>5732.87</v>
      </c>
      <c r="T298">
        <v>0</v>
      </c>
      <c r="V298">
        <v>0</v>
      </c>
    </row>
    <row r="299" spans="1:25" ht="25.05" customHeight="1" x14ac:dyDescent="0.3">
      <c r="A299" t="s">
        <v>484</v>
      </c>
    </row>
    <row r="300" spans="1:25" ht="16.05" customHeight="1" x14ac:dyDescent="0.3">
      <c r="A300" t="s">
        <v>365</v>
      </c>
      <c r="P300" t="s">
        <v>342</v>
      </c>
      <c r="R300" t="s">
        <v>343</v>
      </c>
      <c r="T300" t="s">
        <v>344</v>
      </c>
      <c r="V300" t="s">
        <v>345</v>
      </c>
      <c r="Y300" t="s">
        <v>346</v>
      </c>
    </row>
    <row r="301" spans="1:25" ht="18" customHeight="1" x14ac:dyDescent="0.3">
      <c r="A301" t="s">
        <v>485</v>
      </c>
      <c r="P301">
        <v>3057.53</v>
      </c>
      <c r="R301">
        <v>3057.53</v>
      </c>
      <c r="T301">
        <v>0</v>
      </c>
      <c r="V301">
        <v>0</v>
      </c>
    </row>
    <row r="302" spans="1:25" ht="11.25" customHeight="1" x14ac:dyDescent="0.3">
      <c r="P302">
        <v>3057.53</v>
      </c>
      <c r="R302">
        <v>3057.53</v>
      </c>
      <c r="T302">
        <v>0</v>
      </c>
      <c r="V302">
        <v>0</v>
      </c>
    </row>
    <row r="303" spans="1:25" ht="25.05" customHeight="1" x14ac:dyDescent="0.3">
      <c r="A303" t="s">
        <v>486</v>
      </c>
    </row>
    <row r="304" spans="1:25" ht="16.05" customHeight="1" x14ac:dyDescent="0.3">
      <c r="A304" t="s">
        <v>365</v>
      </c>
      <c r="P304" t="s">
        <v>342</v>
      </c>
      <c r="R304" t="s">
        <v>343</v>
      </c>
      <c r="T304" t="s">
        <v>344</v>
      </c>
      <c r="V304" t="s">
        <v>345</v>
      </c>
      <c r="Y304" t="s">
        <v>346</v>
      </c>
    </row>
    <row r="305" spans="1:25" ht="18" customHeight="1" x14ac:dyDescent="0.3">
      <c r="A305" t="s">
        <v>487</v>
      </c>
      <c r="P305">
        <v>764.38</v>
      </c>
      <c r="R305">
        <v>764.38</v>
      </c>
      <c r="T305">
        <v>0</v>
      </c>
      <c r="V305">
        <v>0</v>
      </c>
    </row>
    <row r="306" spans="1:25" ht="11.25" customHeight="1" x14ac:dyDescent="0.3">
      <c r="P306">
        <v>764.38</v>
      </c>
      <c r="R306">
        <v>764.38</v>
      </c>
      <c r="T306">
        <v>0</v>
      </c>
      <c r="V306">
        <v>0</v>
      </c>
    </row>
    <row r="307" spans="1:25" ht="25.95" customHeight="1" x14ac:dyDescent="0.3">
      <c r="A307" t="s">
        <v>488</v>
      </c>
    </row>
    <row r="308" spans="1:25" ht="16.05" customHeight="1" x14ac:dyDescent="0.3">
      <c r="A308" t="s">
        <v>365</v>
      </c>
      <c r="P308" t="s">
        <v>342</v>
      </c>
      <c r="R308" t="s">
        <v>343</v>
      </c>
      <c r="T308" t="s">
        <v>344</v>
      </c>
      <c r="V308" t="s">
        <v>345</v>
      </c>
      <c r="Y308" t="s">
        <v>346</v>
      </c>
    </row>
    <row r="309" spans="1:25" ht="18" customHeight="1" x14ac:dyDescent="0.3">
      <c r="A309" t="s">
        <v>489</v>
      </c>
      <c r="P309">
        <v>764.38</v>
      </c>
      <c r="R309">
        <v>764.38</v>
      </c>
      <c r="T309">
        <v>0</v>
      </c>
      <c r="V309">
        <v>0</v>
      </c>
    </row>
    <row r="310" spans="1:25" ht="11.25" customHeight="1" x14ac:dyDescent="0.3">
      <c r="P310">
        <v>764.38</v>
      </c>
      <c r="R310">
        <v>764.38</v>
      </c>
      <c r="T310">
        <v>0</v>
      </c>
      <c r="V310">
        <v>0</v>
      </c>
    </row>
    <row r="311" spans="1:25" ht="25.05" customHeight="1" x14ac:dyDescent="0.3">
      <c r="A311" t="s">
        <v>490</v>
      </c>
    </row>
    <row r="312" spans="1:25" ht="16.05" customHeight="1" x14ac:dyDescent="0.3">
      <c r="A312" t="s">
        <v>365</v>
      </c>
      <c r="P312" t="s">
        <v>342</v>
      </c>
      <c r="R312" t="s">
        <v>343</v>
      </c>
      <c r="T312" t="s">
        <v>344</v>
      </c>
      <c r="V312" t="s">
        <v>345</v>
      </c>
      <c r="Y312" t="s">
        <v>346</v>
      </c>
    </row>
    <row r="313" spans="1:25" ht="18" customHeight="1" x14ac:dyDescent="0.3">
      <c r="A313" t="s">
        <v>491</v>
      </c>
      <c r="P313">
        <v>7561.64</v>
      </c>
      <c r="R313">
        <v>7561.64</v>
      </c>
      <c r="T313">
        <v>0</v>
      </c>
      <c r="V313">
        <v>0</v>
      </c>
    </row>
    <row r="314" spans="1:25" ht="11.25" customHeight="1" x14ac:dyDescent="0.3">
      <c r="P314">
        <v>7561.64</v>
      </c>
      <c r="R314">
        <v>7561.64</v>
      </c>
      <c r="T314">
        <v>0</v>
      </c>
      <c r="V314">
        <v>0</v>
      </c>
    </row>
    <row r="315" spans="1:25" ht="25.95" customHeight="1" x14ac:dyDescent="0.3">
      <c r="A315">
        <v>1098</v>
      </c>
      <c r="C315" t="s">
        <v>492</v>
      </c>
    </row>
    <row r="316" spans="1:25" ht="16.05" customHeight="1" x14ac:dyDescent="0.3">
      <c r="C316" t="s">
        <v>340</v>
      </c>
      <c r="K316" t="s">
        <v>341</v>
      </c>
      <c r="P316" t="s">
        <v>342</v>
      </c>
      <c r="Q316" t="s">
        <v>343</v>
      </c>
      <c r="S316" t="s">
        <v>344</v>
      </c>
      <c r="U316" t="s">
        <v>345</v>
      </c>
      <c r="X316" t="s">
        <v>346</v>
      </c>
    </row>
    <row r="317" spans="1:25" ht="11.25" customHeight="1" x14ac:dyDescent="0.3">
      <c r="A317">
        <v>1206</v>
      </c>
      <c r="I317" t="s">
        <v>347</v>
      </c>
      <c r="M317">
        <v>789.04</v>
      </c>
      <c r="R317">
        <v>789.04</v>
      </c>
      <c r="T317">
        <v>0</v>
      </c>
      <c r="V317">
        <v>0</v>
      </c>
    </row>
    <row r="318" spans="1:25" ht="8.5500000000000007" customHeight="1" x14ac:dyDescent="0.3">
      <c r="M318">
        <v>789.04</v>
      </c>
      <c r="R318">
        <v>789.04</v>
      </c>
      <c r="T318">
        <v>0</v>
      </c>
      <c r="V318">
        <v>0</v>
      </c>
    </row>
    <row r="319" spans="1:25" ht="11.25" customHeight="1" x14ac:dyDescent="0.3"/>
    <row r="320" spans="1:25" ht="6" customHeight="1" x14ac:dyDescent="0.3">
      <c r="B320" t="s">
        <v>493</v>
      </c>
    </row>
    <row r="321" spans="1:25" ht="35.549999999999997" customHeight="1" x14ac:dyDescent="0.3"/>
    <row r="322" spans="1:25" ht="18" customHeight="1" x14ac:dyDescent="0.3">
      <c r="A322" t="s">
        <v>494</v>
      </c>
      <c r="I322" t="s">
        <v>356</v>
      </c>
      <c r="M322" t="s">
        <v>495</v>
      </c>
      <c r="R322" t="s">
        <v>496</v>
      </c>
      <c r="T322" t="s">
        <v>359</v>
      </c>
      <c r="V322" t="s">
        <v>360</v>
      </c>
      <c r="Y322" t="s">
        <v>346</v>
      </c>
    </row>
    <row r="323" spans="1:25" ht="11.25" customHeight="1" x14ac:dyDescent="0.3">
      <c r="M323">
        <v>1643.84</v>
      </c>
      <c r="R323">
        <v>1643.84</v>
      </c>
      <c r="T323">
        <v>0</v>
      </c>
      <c r="V323">
        <v>0</v>
      </c>
    </row>
    <row r="324" spans="1:25" ht="25.95" customHeight="1" x14ac:dyDescent="0.3">
      <c r="A324" t="s">
        <v>497</v>
      </c>
    </row>
    <row r="325" spans="1:25" ht="16.05" customHeight="1" x14ac:dyDescent="0.3">
      <c r="C325" t="s">
        <v>340</v>
      </c>
      <c r="K325" t="s">
        <v>341</v>
      </c>
      <c r="L325" t="s">
        <v>342</v>
      </c>
      <c r="Q325" t="s">
        <v>343</v>
      </c>
      <c r="S325" t="s">
        <v>344</v>
      </c>
      <c r="U325" t="s">
        <v>345</v>
      </c>
      <c r="X325" t="s">
        <v>346</v>
      </c>
    </row>
    <row r="326" spans="1:25" ht="18" customHeight="1" x14ac:dyDescent="0.3">
      <c r="A326">
        <v>1185</v>
      </c>
      <c r="H326" t="s">
        <v>347</v>
      </c>
      <c r="M326">
        <v>0</v>
      </c>
      <c r="R326">
        <v>4506.5600000000004</v>
      </c>
      <c r="T326">
        <v>-4506.5600000000004</v>
      </c>
      <c r="V326">
        <v>0</v>
      </c>
    </row>
    <row r="327" spans="1:25" ht="11.25" customHeight="1" x14ac:dyDescent="0.3">
      <c r="M327">
        <v>0</v>
      </c>
      <c r="R327">
        <v>4506.5600000000004</v>
      </c>
      <c r="T327">
        <v>-4506.5600000000004</v>
      </c>
      <c r="V327">
        <v>0</v>
      </c>
    </row>
    <row r="328" spans="1:25" ht="25.05" customHeight="1" x14ac:dyDescent="0.3">
      <c r="A328" t="s">
        <v>498</v>
      </c>
    </row>
    <row r="329" spans="1:25" ht="13.95" customHeight="1" x14ac:dyDescent="0.3">
      <c r="A329" t="s">
        <v>340</v>
      </c>
      <c r="H329" t="s">
        <v>341</v>
      </c>
      <c r="M329" t="s">
        <v>342</v>
      </c>
      <c r="R329" t="s">
        <v>343</v>
      </c>
      <c r="T329" t="s">
        <v>344</v>
      </c>
      <c r="V329" t="s">
        <v>345</v>
      </c>
      <c r="Y329" t="s">
        <v>346</v>
      </c>
    </row>
    <row r="330" spans="1:25" ht="12" customHeight="1" x14ac:dyDescent="0.3">
      <c r="A330">
        <v>1190</v>
      </c>
      <c r="H330" t="s">
        <v>347</v>
      </c>
      <c r="M330">
        <v>0</v>
      </c>
      <c r="R330">
        <v>2046.42</v>
      </c>
      <c r="T330">
        <v>-2046.42</v>
      </c>
      <c r="V330">
        <v>0</v>
      </c>
    </row>
    <row r="331" spans="1:25" ht="13.95" customHeight="1" x14ac:dyDescent="0.3">
      <c r="A331">
        <v>1195</v>
      </c>
      <c r="H331" t="s">
        <v>347</v>
      </c>
      <c r="M331">
        <v>0</v>
      </c>
      <c r="R331">
        <v>34.24</v>
      </c>
      <c r="T331">
        <v>-34.24</v>
      </c>
      <c r="V331">
        <v>0</v>
      </c>
    </row>
    <row r="332" spans="1:25" ht="11.25" customHeight="1" x14ac:dyDescent="0.3">
      <c r="A332">
        <v>1270</v>
      </c>
      <c r="H332" t="s">
        <v>347</v>
      </c>
      <c r="M332">
        <v>0</v>
      </c>
      <c r="R332">
        <v>22.46</v>
      </c>
      <c r="T332">
        <v>-22.46</v>
      </c>
      <c r="V332">
        <v>0</v>
      </c>
    </row>
    <row r="333" spans="1:25" ht="11.25" customHeight="1" x14ac:dyDescent="0.3">
      <c r="M333">
        <v>0</v>
      </c>
      <c r="R333">
        <v>2103.12</v>
      </c>
      <c r="T333">
        <v>-2103.12</v>
      </c>
      <c r="V333">
        <v>0</v>
      </c>
    </row>
    <row r="334" spans="1:25" ht="25.05" customHeight="1" x14ac:dyDescent="0.3">
      <c r="A334" t="s">
        <v>499</v>
      </c>
      <c r="G334" t="s">
        <v>500</v>
      </c>
    </row>
    <row r="335" spans="1:25" ht="13.95" customHeight="1" x14ac:dyDescent="0.3">
      <c r="A335" t="s">
        <v>340</v>
      </c>
      <c r="G335" t="s">
        <v>341</v>
      </c>
      <c r="M335" t="s">
        <v>342</v>
      </c>
      <c r="R335" t="s">
        <v>343</v>
      </c>
      <c r="T335" t="s">
        <v>344</v>
      </c>
      <c r="V335" t="s">
        <v>345</v>
      </c>
      <c r="Y335" t="s">
        <v>346</v>
      </c>
    </row>
    <row r="336" spans="1:25" ht="13.95" customHeight="1" x14ac:dyDescent="0.3">
      <c r="A336">
        <v>1191</v>
      </c>
      <c r="G336" t="s">
        <v>347</v>
      </c>
      <c r="M336">
        <v>1643.84</v>
      </c>
      <c r="R336">
        <v>1643.84</v>
      </c>
      <c r="T336">
        <v>0</v>
      </c>
      <c r="V336">
        <v>0</v>
      </c>
    </row>
    <row r="337" spans="1:25" ht="18" customHeight="1" x14ac:dyDescent="0.3">
      <c r="A337">
        <v>1215</v>
      </c>
      <c r="G337" t="s">
        <v>347</v>
      </c>
      <c r="M337">
        <v>230.14</v>
      </c>
      <c r="R337">
        <v>230.14</v>
      </c>
      <c r="T337">
        <v>0</v>
      </c>
      <c r="V337">
        <v>0</v>
      </c>
    </row>
    <row r="338" spans="1:25" ht="12" customHeight="1" x14ac:dyDescent="0.3">
      <c r="M338">
        <v>1873.98</v>
      </c>
      <c r="R338">
        <v>1873.98</v>
      </c>
      <c r="T338">
        <v>0</v>
      </c>
      <c r="V338">
        <v>0</v>
      </c>
    </row>
    <row r="339" spans="1:25" ht="25.05" customHeight="1" x14ac:dyDescent="0.3">
      <c r="A339" t="s">
        <v>501</v>
      </c>
      <c r="G339" t="s">
        <v>502</v>
      </c>
    </row>
    <row r="340" spans="1:25" ht="16.05" customHeight="1" x14ac:dyDescent="0.3">
      <c r="A340" t="s">
        <v>340</v>
      </c>
      <c r="G340" t="s">
        <v>341</v>
      </c>
      <c r="M340" t="s">
        <v>342</v>
      </c>
      <c r="R340" t="s">
        <v>343</v>
      </c>
      <c r="T340" t="s">
        <v>344</v>
      </c>
      <c r="V340" t="s">
        <v>345</v>
      </c>
      <c r="Y340" t="s">
        <v>346</v>
      </c>
    </row>
    <row r="341" spans="1:25" ht="18" customHeight="1" x14ac:dyDescent="0.3">
      <c r="A341">
        <v>1196</v>
      </c>
      <c r="G341" t="s">
        <v>347</v>
      </c>
      <c r="M341">
        <v>0</v>
      </c>
      <c r="R341">
        <v>869.39</v>
      </c>
      <c r="T341">
        <v>-869.39</v>
      </c>
      <c r="V341">
        <v>0</v>
      </c>
    </row>
    <row r="342" spans="1:25" ht="11.25" customHeight="1" x14ac:dyDescent="0.3">
      <c r="M342">
        <v>0</v>
      </c>
      <c r="R342">
        <v>869.39</v>
      </c>
      <c r="T342">
        <v>-869.39</v>
      </c>
      <c r="V342">
        <v>0</v>
      </c>
    </row>
    <row r="343" spans="1:25" ht="25.95" customHeight="1" x14ac:dyDescent="0.3">
      <c r="A343">
        <v>1106</v>
      </c>
      <c r="C343" t="s">
        <v>503</v>
      </c>
    </row>
    <row r="344" spans="1:25" ht="15" customHeight="1" x14ac:dyDescent="0.3">
      <c r="C344" t="s">
        <v>340</v>
      </c>
      <c r="J344" t="s">
        <v>341</v>
      </c>
      <c r="L344" t="s">
        <v>342</v>
      </c>
      <c r="Q344" t="s">
        <v>343</v>
      </c>
      <c r="S344" t="s">
        <v>344</v>
      </c>
      <c r="U344" t="s">
        <v>345</v>
      </c>
      <c r="X344" t="s">
        <v>346</v>
      </c>
    </row>
    <row r="345" spans="1:25" ht="18" customHeight="1" x14ac:dyDescent="0.3">
      <c r="A345" t="s">
        <v>504</v>
      </c>
      <c r="R345">
        <v>764.38</v>
      </c>
      <c r="T345">
        <v>0</v>
      </c>
      <c r="V345">
        <v>0</v>
      </c>
    </row>
    <row r="346" spans="1:25" ht="11.25" customHeight="1" x14ac:dyDescent="0.3">
      <c r="A346">
        <v>764.38</v>
      </c>
      <c r="R346">
        <v>764.38</v>
      </c>
      <c r="T346">
        <v>0</v>
      </c>
      <c r="V346">
        <v>0</v>
      </c>
    </row>
    <row r="347" spans="1:25" ht="25.95" customHeight="1" x14ac:dyDescent="0.3">
      <c r="A347" t="s">
        <v>505</v>
      </c>
    </row>
    <row r="348" spans="1:25" ht="13.05" customHeight="1" x14ac:dyDescent="0.3">
      <c r="A348" t="s">
        <v>380</v>
      </c>
      <c r="R348" t="s">
        <v>343</v>
      </c>
      <c r="T348" t="s">
        <v>344</v>
      </c>
      <c r="V348" t="s">
        <v>345</v>
      </c>
      <c r="Y348" t="s">
        <v>346</v>
      </c>
    </row>
    <row r="349" spans="1:25" ht="12" customHeight="1" x14ac:dyDescent="0.3">
      <c r="A349" t="s">
        <v>506</v>
      </c>
      <c r="R349">
        <v>1146.58</v>
      </c>
      <c r="T349">
        <v>0</v>
      </c>
      <c r="V349">
        <v>0</v>
      </c>
    </row>
    <row r="350" spans="1:25" ht="15" customHeight="1" x14ac:dyDescent="0.3">
      <c r="A350" t="s">
        <v>507</v>
      </c>
      <c r="R350">
        <v>382.19</v>
      </c>
      <c r="T350">
        <v>0</v>
      </c>
      <c r="V350">
        <v>0</v>
      </c>
    </row>
    <row r="351" spans="1:25" ht="18" customHeight="1" x14ac:dyDescent="0.3">
      <c r="A351" t="s">
        <v>508</v>
      </c>
      <c r="R351">
        <v>382.19</v>
      </c>
      <c r="T351">
        <v>0</v>
      </c>
      <c r="V351">
        <v>0</v>
      </c>
    </row>
    <row r="352" spans="1:25" ht="11.25" customHeight="1" x14ac:dyDescent="0.3">
      <c r="A352">
        <v>1910.96</v>
      </c>
      <c r="R352">
        <v>1910.96</v>
      </c>
      <c r="T352">
        <v>0</v>
      </c>
      <c r="V352">
        <v>0</v>
      </c>
    </row>
    <row r="353" spans="1:25" ht="25.05" customHeight="1" x14ac:dyDescent="0.3">
      <c r="A353" t="s">
        <v>509</v>
      </c>
    </row>
    <row r="354" spans="1:25" ht="16.05" customHeight="1" x14ac:dyDescent="0.3">
      <c r="A354" t="s">
        <v>380</v>
      </c>
      <c r="R354" t="s">
        <v>343</v>
      </c>
      <c r="T354" t="s">
        <v>344</v>
      </c>
      <c r="V354" t="s">
        <v>345</v>
      </c>
      <c r="Y354" t="s">
        <v>346</v>
      </c>
    </row>
    <row r="355" spans="1:25" ht="18" customHeight="1" x14ac:dyDescent="0.3">
      <c r="A355" t="s">
        <v>510</v>
      </c>
      <c r="R355">
        <v>487.27</v>
      </c>
      <c r="T355">
        <v>-487.27</v>
      </c>
      <c r="V355">
        <v>0</v>
      </c>
    </row>
    <row r="356" spans="1:25" ht="11.25" customHeight="1" x14ac:dyDescent="0.3">
      <c r="A356">
        <v>0</v>
      </c>
      <c r="R356">
        <v>487.27</v>
      </c>
      <c r="T356">
        <v>-487.27</v>
      </c>
      <c r="V356">
        <v>0</v>
      </c>
    </row>
    <row r="357" spans="1:25" ht="25.95" customHeight="1" x14ac:dyDescent="0.3">
      <c r="A357" t="s">
        <v>511</v>
      </c>
    </row>
    <row r="358" spans="1:25" ht="16.05" customHeight="1" x14ac:dyDescent="0.3">
      <c r="A358" t="s">
        <v>380</v>
      </c>
      <c r="R358" t="s">
        <v>343</v>
      </c>
      <c r="T358" t="s">
        <v>344</v>
      </c>
      <c r="V358" t="s">
        <v>345</v>
      </c>
      <c r="Y358" t="s">
        <v>346</v>
      </c>
    </row>
    <row r="359" spans="1:25" ht="18" customHeight="1" x14ac:dyDescent="0.3">
      <c r="A359" t="s">
        <v>512</v>
      </c>
      <c r="R359">
        <v>408.03</v>
      </c>
      <c r="T359">
        <v>-408.03</v>
      </c>
      <c r="V359">
        <v>0</v>
      </c>
    </row>
    <row r="360" spans="1:25" ht="11.25" customHeight="1" x14ac:dyDescent="0.3">
      <c r="A360">
        <v>0</v>
      </c>
      <c r="R360">
        <v>408.03</v>
      </c>
      <c r="T360">
        <v>-408.03</v>
      </c>
      <c r="V360">
        <v>0</v>
      </c>
    </row>
    <row r="361" spans="1:25" ht="25.05" customHeight="1" x14ac:dyDescent="0.3">
      <c r="A361" t="s">
        <v>513</v>
      </c>
    </row>
    <row r="362" spans="1:25" ht="16.05" customHeight="1" x14ac:dyDescent="0.3">
      <c r="A362" t="s">
        <v>380</v>
      </c>
      <c r="R362" t="s">
        <v>343</v>
      </c>
      <c r="T362" t="s">
        <v>344</v>
      </c>
      <c r="V362" t="s">
        <v>345</v>
      </c>
      <c r="Y362" t="s">
        <v>346</v>
      </c>
    </row>
    <row r="363" spans="1:25" ht="18" customHeight="1" x14ac:dyDescent="0.3">
      <c r="A363" t="s">
        <v>514</v>
      </c>
      <c r="R363">
        <v>1972.6</v>
      </c>
      <c r="T363">
        <v>0</v>
      </c>
      <c r="V363">
        <v>0</v>
      </c>
    </row>
    <row r="364" spans="1:25" ht="11.25" customHeight="1" x14ac:dyDescent="0.3">
      <c r="A364">
        <v>1972.6</v>
      </c>
      <c r="R364">
        <v>1972.6</v>
      </c>
      <c r="T364">
        <v>0</v>
      </c>
      <c r="V364">
        <v>0</v>
      </c>
    </row>
    <row r="365" spans="1:25" ht="25.95" customHeight="1" x14ac:dyDescent="0.3">
      <c r="A365" t="s">
        <v>515</v>
      </c>
    </row>
    <row r="366" spans="1:25" ht="16.05" customHeight="1" x14ac:dyDescent="0.3">
      <c r="A366" t="s">
        <v>380</v>
      </c>
      <c r="R366" t="s">
        <v>343</v>
      </c>
      <c r="T366" t="s">
        <v>344</v>
      </c>
      <c r="V366" t="s">
        <v>345</v>
      </c>
      <c r="Y366" t="s">
        <v>346</v>
      </c>
    </row>
    <row r="367" spans="1:25" ht="18" customHeight="1" x14ac:dyDescent="0.3">
      <c r="A367" t="s">
        <v>516</v>
      </c>
      <c r="R367">
        <v>1315.07</v>
      </c>
      <c r="T367">
        <v>0</v>
      </c>
      <c r="V367">
        <v>0</v>
      </c>
    </row>
    <row r="368" spans="1:25" ht="11.25" customHeight="1" x14ac:dyDescent="0.3">
      <c r="A368">
        <v>1315.07</v>
      </c>
      <c r="R368">
        <v>1315.07</v>
      </c>
      <c r="T368">
        <v>0</v>
      </c>
      <c r="V368">
        <v>0</v>
      </c>
    </row>
    <row r="369" spans="1:25" ht="25.95" customHeight="1" x14ac:dyDescent="0.3">
      <c r="A369">
        <v>1114</v>
      </c>
      <c r="C369" t="s">
        <v>517</v>
      </c>
    </row>
    <row r="370" spans="1:25" ht="15" customHeight="1" x14ac:dyDescent="0.3">
      <c r="C370" t="s">
        <v>340</v>
      </c>
      <c r="J370" t="s">
        <v>341</v>
      </c>
      <c r="L370" t="s">
        <v>342</v>
      </c>
      <c r="Q370" t="s">
        <v>343</v>
      </c>
      <c r="S370" t="s">
        <v>344</v>
      </c>
      <c r="U370" t="s">
        <v>345</v>
      </c>
      <c r="X370" t="s">
        <v>346</v>
      </c>
    </row>
    <row r="371" spans="1:25" ht="11.25" customHeight="1" x14ac:dyDescent="0.3">
      <c r="A371">
        <v>1218</v>
      </c>
      <c r="I371" t="s">
        <v>347</v>
      </c>
      <c r="M371">
        <v>1528.77</v>
      </c>
      <c r="R371">
        <v>1528.77</v>
      </c>
      <c r="T371">
        <v>0</v>
      </c>
      <c r="V371">
        <v>0</v>
      </c>
    </row>
    <row r="372" spans="1:25" ht="11.25" customHeight="1" x14ac:dyDescent="0.3">
      <c r="M372">
        <v>1528.77</v>
      </c>
      <c r="R372">
        <v>1528.77</v>
      </c>
      <c r="T372">
        <v>0</v>
      </c>
      <c r="V372">
        <v>0</v>
      </c>
    </row>
    <row r="373" spans="1:25" ht="6" customHeight="1" x14ac:dyDescent="0.3">
      <c r="B373" t="s">
        <v>518</v>
      </c>
    </row>
    <row r="374" spans="1:25" ht="35.549999999999997" customHeight="1" x14ac:dyDescent="0.3"/>
    <row r="375" spans="1:25" ht="18" customHeight="1" x14ac:dyDescent="0.3">
      <c r="A375" t="s">
        <v>519</v>
      </c>
      <c r="I375" t="s">
        <v>356</v>
      </c>
      <c r="M375" t="s">
        <v>520</v>
      </c>
      <c r="R375" t="s">
        <v>521</v>
      </c>
      <c r="T375" t="s">
        <v>359</v>
      </c>
      <c r="V375" t="s">
        <v>360</v>
      </c>
      <c r="Y375" t="s">
        <v>346</v>
      </c>
    </row>
    <row r="376" spans="1:25" ht="11.25" customHeight="1" x14ac:dyDescent="0.3">
      <c r="M376">
        <v>2876.71</v>
      </c>
      <c r="R376">
        <v>2876.71</v>
      </c>
      <c r="T376">
        <v>0</v>
      </c>
      <c r="V376">
        <v>0</v>
      </c>
    </row>
    <row r="377" spans="1:25" ht="25.95" customHeight="1" x14ac:dyDescent="0.3">
      <c r="A377" t="s">
        <v>522</v>
      </c>
      <c r="O377" t="s">
        <v>368</v>
      </c>
    </row>
    <row r="378" spans="1:25" ht="13.05" customHeight="1" x14ac:dyDescent="0.3">
      <c r="A378" t="s">
        <v>365</v>
      </c>
      <c r="O378" t="s">
        <v>342</v>
      </c>
      <c r="R378" t="s">
        <v>343</v>
      </c>
      <c r="T378" t="s">
        <v>344</v>
      </c>
      <c r="V378" t="s">
        <v>345</v>
      </c>
      <c r="Y378" t="s">
        <v>346</v>
      </c>
    </row>
    <row r="379" spans="1:25" ht="15" customHeight="1" x14ac:dyDescent="0.3">
      <c r="A379" t="s">
        <v>523</v>
      </c>
      <c r="O379">
        <v>573.29</v>
      </c>
      <c r="R379">
        <v>573.29</v>
      </c>
      <c r="T379">
        <v>0</v>
      </c>
      <c r="V379">
        <v>0</v>
      </c>
    </row>
    <row r="380" spans="1:25" ht="18" customHeight="1" x14ac:dyDescent="0.3">
      <c r="A380" t="s">
        <v>524</v>
      </c>
      <c r="O380">
        <v>573.29</v>
      </c>
      <c r="R380">
        <v>573.29</v>
      </c>
      <c r="T380">
        <v>0</v>
      </c>
      <c r="V380">
        <v>0</v>
      </c>
    </row>
    <row r="381" spans="1:25" ht="11.25" customHeight="1" x14ac:dyDescent="0.3">
      <c r="O381">
        <v>1146.58</v>
      </c>
      <c r="R381">
        <v>1146.58</v>
      </c>
      <c r="T381">
        <v>0</v>
      </c>
      <c r="V381">
        <v>0</v>
      </c>
    </row>
    <row r="382" spans="1:25" ht="25.95" customHeight="1" x14ac:dyDescent="0.3">
      <c r="A382">
        <v>1117</v>
      </c>
      <c r="C382" t="s">
        <v>525</v>
      </c>
    </row>
    <row r="383" spans="1:25" ht="15" customHeight="1" x14ac:dyDescent="0.3">
      <c r="C383" t="s">
        <v>340</v>
      </c>
      <c r="J383" t="s">
        <v>341</v>
      </c>
      <c r="L383" t="s">
        <v>342</v>
      </c>
      <c r="Q383" t="s">
        <v>343</v>
      </c>
      <c r="S383" t="s">
        <v>344</v>
      </c>
      <c r="U383" t="s">
        <v>345</v>
      </c>
      <c r="X383" t="s">
        <v>346</v>
      </c>
    </row>
    <row r="384" spans="1:25" ht="18" customHeight="1" x14ac:dyDescent="0.3">
      <c r="A384">
        <v>1221</v>
      </c>
      <c r="I384" t="s">
        <v>347</v>
      </c>
      <c r="M384">
        <v>0</v>
      </c>
      <c r="R384">
        <v>4267.26</v>
      </c>
      <c r="T384">
        <v>-4267.26</v>
      </c>
      <c r="V384">
        <v>0</v>
      </c>
    </row>
    <row r="385" spans="1:25" ht="11.25" customHeight="1" x14ac:dyDescent="0.3">
      <c r="M385">
        <v>0</v>
      </c>
      <c r="R385">
        <v>4267.26</v>
      </c>
      <c r="T385">
        <v>-4267.26</v>
      </c>
      <c r="V385">
        <v>0</v>
      </c>
    </row>
    <row r="386" spans="1:25" ht="25.95" customHeight="1" x14ac:dyDescent="0.3">
      <c r="A386" t="s">
        <v>526</v>
      </c>
      <c r="I386" t="s">
        <v>527</v>
      </c>
    </row>
    <row r="387" spans="1:25" ht="13.05" customHeight="1" x14ac:dyDescent="0.3">
      <c r="A387" t="s">
        <v>340</v>
      </c>
      <c r="I387" t="s">
        <v>341</v>
      </c>
      <c r="M387" t="s">
        <v>342</v>
      </c>
      <c r="R387" t="s">
        <v>343</v>
      </c>
      <c r="T387" t="s">
        <v>344</v>
      </c>
      <c r="V387" t="s">
        <v>345</v>
      </c>
      <c r="Y387" t="s">
        <v>346</v>
      </c>
    </row>
    <row r="388" spans="1:25" ht="15" customHeight="1" x14ac:dyDescent="0.3">
      <c r="A388">
        <v>1225</v>
      </c>
      <c r="I388" t="s">
        <v>347</v>
      </c>
      <c r="M388">
        <v>2373.29</v>
      </c>
      <c r="R388">
        <v>2373.29</v>
      </c>
      <c r="T388">
        <v>0</v>
      </c>
      <c r="V388">
        <v>0</v>
      </c>
    </row>
    <row r="389" spans="1:25" ht="18" customHeight="1" x14ac:dyDescent="0.3">
      <c r="A389">
        <v>1226</v>
      </c>
      <c r="I389" t="s">
        <v>347</v>
      </c>
      <c r="M389">
        <v>2522.4699999999998</v>
      </c>
      <c r="R389">
        <v>2522.4699999999998</v>
      </c>
      <c r="T389">
        <v>0</v>
      </c>
      <c r="V389">
        <v>0</v>
      </c>
    </row>
    <row r="390" spans="1:25" ht="11.25" customHeight="1" x14ac:dyDescent="0.3">
      <c r="M390">
        <v>4895.76</v>
      </c>
      <c r="R390">
        <v>4895.76</v>
      </c>
      <c r="T390">
        <v>0</v>
      </c>
      <c r="V390">
        <v>0</v>
      </c>
    </row>
    <row r="391" spans="1:25" ht="25.05" customHeight="1" x14ac:dyDescent="0.3">
      <c r="A391" t="s">
        <v>528</v>
      </c>
    </row>
    <row r="392" spans="1:25" ht="16.05" customHeight="1" x14ac:dyDescent="0.3">
      <c r="A392" t="s">
        <v>365</v>
      </c>
      <c r="M392" t="s">
        <v>342</v>
      </c>
      <c r="R392" t="s">
        <v>343</v>
      </c>
      <c r="T392" t="s">
        <v>344</v>
      </c>
      <c r="V392" t="s">
        <v>345</v>
      </c>
      <c r="Y392" t="s">
        <v>346</v>
      </c>
    </row>
    <row r="393" spans="1:25" ht="18" customHeight="1" x14ac:dyDescent="0.3">
      <c r="A393" t="s">
        <v>529</v>
      </c>
      <c r="M393">
        <v>0</v>
      </c>
      <c r="R393">
        <v>2255.4299999999998</v>
      </c>
      <c r="T393">
        <v>-2255.4299999999998</v>
      </c>
      <c r="V393">
        <v>0</v>
      </c>
    </row>
    <row r="394" spans="1:25" ht="11.25" customHeight="1" x14ac:dyDescent="0.3">
      <c r="M394">
        <v>0</v>
      </c>
      <c r="R394">
        <v>2255.4299999999998</v>
      </c>
      <c r="T394">
        <v>-2255.4299999999998</v>
      </c>
      <c r="V394">
        <v>0</v>
      </c>
    </row>
    <row r="395" spans="1:25" ht="25.95" customHeight="1" x14ac:dyDescent="0.3">
      <c r="A395" t="s">
        <v>530</v>
      </c>
    </row>
    <row r="396" spans="1:25" ht="16.05" customHeight="1" x14ac:dyDescent="0.3">
      <c r="A396" t="s">
        <v>365</v>
      </c>
      <c r="M396" t="s">
        <v>342</v>
      </c>
      <c r="R396" t="s">
        <v>343</v>
      </c>
      <c r="T396" t="s">
        <v>344</v>
      </c>
      <c r="V396" t="s">
        <v>345</v>
      </c>
      <c r="Y396" t="s">
        <v>346</v>
      </c>
    </row>
    <row r="397" spans="1:25" ht="18" customHeight="1" x14ac:dyDescent="0.3">
      <c r="A397" t="s">
        <v>531</v>
      </c>
      <c r="M397">
        <v>0</v>
      </c>
      <c r="R397">
        <v>1610.62</v>
      </c>
      <c r="T397">
        <v>-1610.62</v>
      </c>
      <c r="V397">
        <v>0</v>
      </c>
    </row>
    <row r="398" spans="1:25" ht="11.25" customHeight="1" x14ac:dyDescent="0.3">
      <c r="M398">
        <v>0</v>
      </c>
      <c r="R398">
        <v>1610.62</v>
      </c>
      <c r="T398">
        <v>-1610.62</v>
      </c>
      <c r="V398">
        <v>0</v>
      </c>
    </row>
    <row r="399" spans="1:25" ht="25.95" customHeight="1" x14ac:dyDescent="0.3">
      <c r="A399">
        <v>1121</v>
      </c>
      <c r="C399" t="s">
        <v>532</v>
      </c>
    </row>
    <row r="400" spans="1:25" ht="13.05" customHeight="1" x14ac:dyDescent="0.3">
      <c r="C400" t="s">
        <v>340</v>
      </c>
      <c r="J400" t="s">
        <v>341</v>
      </c>
      <c r="L400" t="s">
        <v>342</v>
      </c>
      <c r="Q400" t="s">
        <v>343</v>
      </c>
      <c r="S400" t="s">
        <v>344</v>
      </c>
      <c r="U400" t="s">
        <v>345</v>
      </c>
      <c r="X400" t="s">
        <v>346</v>
      </c>
    </row>
    <row r="401" spans="1:25" ht="13.95" customHeight="1" x14ac:dyDescent="0.3">
      <c r="A401" t="s">
        <v>533</v>
      </c>
      <c r="M401">
        <v>4051.23</v>
      </c>
      <c r="R401">
        <v>4051.23</v>
      </c>
      <c r="T401">
        <v>0</v>
      </c>
      <c r="V401">
        <v>0</v>
      </c>
    </row>
    <row r="402" spans="1:25" ht="18" customHeight="1" x14ac:dyDescent="0.3">
      <c r="A402" t="s">
        <v>534</v>
      </c>
      <c r="M402">
        <v>1196.71</v>
      </c>
      <c r="R402">
        <v>1196.71</v>
      </c>
      <c r="T402">
        <v>0</v>
      </c>
      <c r="V402">
        <v>0</v>
      </c>
    </row>
    <row r="403" spans="1:25" ht="11.25" customHeight="1" x14ac:dyDescent="0.3">
      <c r="M403">
        <v>5247.94</v>
      </c>
      <c r="R403">
        <v>5247.94</v>
      </c>
      <c r="T403">
        <v>0</v>
      </c>
      <c r="V403">
        <v>0</v>
      </c>
    </row>
    <row r="404" spans="1:25" ht="25.95" customHeight="1" x14ac:dyDescent="0.3">
      <c r="A404" t="s">
        <v>535</v>
      </c>
    </row>
    <row r="405" spans="1:25" ht="16.05" customHeight="1" x14ac:dyDescent="0.3">
      <c r="A405" t="s">
        <v>365</v>
      </c>
      <c r="M405" t="s">
        <v>342</v>
      </c>
      <c r="R405" t="s">
        <v>343</v>
      </c>
      <c r="T405" t="s">
        <v>344</v>
      </c>
      <c r="V405" t="s">
        <v>345</v>
      </c>
      <c r="Y405" t="s">
        <v>346</v>
      </c>
    </row>
    <row r="406" spans="1:25" ht="18" customHeight="1" x14ac:dyDescent="0.3">
      <c r="A406" t="s">
        <v>536</v>
      </c>
      <c r="M406">
        <v>2958.9</v>
      </c>
      <c r="R406">
        <v>2958.9</v>
      </c>
      <c r="T406">
        <v>0</v>
      </c>
      <c r="V406">
        <v>0</v>
      </c>
    </row>
    <row r="407" spans="1:25" ht="11.25" customHeight="1" x14ac:dyDescent="0.3">
      <c r="M407">
        <v>2958.9</v>
      </c>
      <c r="R407">
        <v>2958.9</v>
      </c>
      <c r="T407">
        <v>0</v>
      </c>
      <c r="V407">
        <v>0</v>
      </c>
    </row>
    <row r="408" spans="1:25" ht="25.05" customHeight="1" x14ac:dyDescent="0.3">
      <c r="A408" t="s">
        <v>537</v>
      </c>
      <c r="H408" t="s">
        <v>538</v>
      </c>
    </row>
    <row r="409" spans="1:25" ht="13.95" customHeight="1" x14ac:dyDescent="0.3">
      <c r="A409" t="s">
        <v>340</v>
      </c>
      <c r="I409" t="s">
        <v>341</v>
      </c>
      <c r="M409" t="s">
        <v>342</v>
      </c>
      <c r="R409" t="s">
        <v>343</v>
      </c>
      <c r="T409" t="s">
        <v>344</v>
      </c>
      <c r="V409" t="s">
        <v>345</v>
      </c>
      <c r="Y409" t="s">
        <v>346</v>
      </c>
    </row>
    <row r="410" spans="1:25" ht="12" customHeight="1" x14ac:dyDescent="0.3">
      <c r="A410">
        <v>1245</v>
      </c>
      <c r="I410" t="s">
        <v>347</v>
      </c>
      <c r="M410">
        <v>1528.77</v>
      </c>
      <c r="R410">
        <v>1528.77</v>
      </c>
      <c r="T410">
        <v>0</v>
      </c>
      <c r="V410">
        <v>0</v>
      </c>
    </row>
    <row r="411" spans="1:25" ht="13.95" customHeight="1" x14ac:dyDescent="0.3">
      <c r="A411">
        <v>1258</v>
      </c>
      <c r="I411" t="s">
        <v>347</v>
      </c>
      <c r="M411">
        <v>2866.44</v>
      </c>
      <c r="R411">
        <v>2866.44</v>
      </c>
      <c r="T411">
        <v>0</v>
      </c>
      <c r="V411">
        <v>0</v>
      </c>
    </row>
    <row r="412" spans="1:25" ht="11.25" customHeight="1" x14ac:dyDescent="0.3">
      <c r="A412">
        <v>1274</v>
      </c>
      <c r="I412" t="s">
        <v>347</v>
      </c>
      <c r="M412">
        <v>3248.63</v>
      </c>
      <c r="R412">
        <v>3248.63</v>
      </c>
      <c r="T412">
        <v>0</v>
      </c>
      <c r="V412">
        <v>0</v>
      </c>
    </row>
    <row r="413" spans="1:25" ht="11.25" customHeight="1" x14ac:dyDescent="0.3">
      <c r="M413">
        <v>7643.84</v>
      </c>
      <c r="R413">
        <v>7643.84</v>
      </c>
      <c r="T413">
        <v>0</v>
      </c>
      <c r="V413">
        <v>0</v>
      </c>
    </row>
    <row r="414" spans="1:25" ht="6" customHeight="1" x14ac:dyDescent="0.3">
      <c r="B414" t="s">
        <v>539</v>
      </c>
    </row>
    <row r="415" spans="1:25" ht="11.25" customHeight="1" x14ac:dyDescent="0.3"/>
    <row r="416" spans="1:25" ht="12" customHeight="1" x14ac:dyDescent="0.3">
      <c r="A416" t="s">
        <v>540</v>
      </c>
      <c r="N416" t="s">
        <v>541</v>
      </c>
      <c r="R416" t="s">
        <v>542</v>
      </c>
      <c r="T416" t="s">
        <v>543</v>
      </c>
      <c r="V416" t="s">
        <v>543</v>
      </c>
    </row>
    <row r="417" spans="1:25" ht="8.25" customHeight="1" x14ac:dyDescent="0.3">
      <c r="A417" t="s">
        <v>544</v>
      </c>
      <c r="F417" t="s">
        <v>341</v>
      </c>
      <c r="N417" t="s">
        <v>545</v>
      </c>
      <c r="R417" t="s">
        <v>546</v>
      </c>
      <c r="T417" t="s">
        <v>546</v>
      </c>
      <c r="V417" t="s">
        <v>547</v>
      </c>
      <c r="X417" t="s">
        <v>346</v>
      </c>
    </row>
    <row r="418" spans="1:25" ht="11.25" customHeight="1" x14ac:dyDescent="0.3"/>
    <row r="419" spans="1:25" ht="6" customHeight="1" x14ac:dyDescent="0.3">
      <c r="B419" t="s">
        <v>548</v>
      </c>
    </row>
    <row r="420" spans="1:25" ht="22.5" customHeight="1" x14ac:dyDescent="0.3"/>
    <row r="421" spans="1:25" ht="15" customHeight="1" x14ac:dyDescent="0.3">
      <c r="A421" t="s">
        <v>365</v>
      </c>
      <c r="M421" t="s">
        <v>342</v>
      </c>
      <c r="R421" t="s">
        <v>343</v>
      </c>
      <c r="T421" t="s">
        <v>344</v>
      </c>
      <c r="V421" t="s">
        <v>345</v>
      </c>
      <c r="Y421" t="s">
        <v>346</v>
      </c>
    </row>
    <row r="422" spans="1:25" ht="18" customHeight="1" x14ac:dyDescent="0.3">
      <c r="A422" t="s">
        <v>549</v>
      </c>
      <c r="M422">
        <v>3287.67</v>
      </c>
      <c r="R422">
        <v>3287.67</v>
      </c>
      <c r="T422">
        <v>0</v>
      </c>
      <c r="V422">
        <v>0</v>
      </c>
    </row>
    <row r="423" spans="1:25" ht="12" customHeight="1" x14ac:dyDescent="0.3">
      <c r="M423">
        <v>3287.67</v>
      </c>
      <c r="R423">
        <v>3287.67</v>
      </c>
      <c r="T423">
        <v>0</v>
      </c>
      <c r="V423">
        <v>0</v>
      </c>
    </row>
    <row r="424" spans="1:25" ht="25.05" customHeight="1" x14ac:dyDescent="0.3">
      <c r="A424" t="s">
        <v>550</v>
      </c>
    </row>
    <row r="425" spans="1:25" ht="16.05" customHeight="1" x14ac:dyDescent="0.3">
      <c r="A425" t="s">
        <v>365</v>
      </c>
      <c r="M425" t="s">
        <v>342</v>
      </c>
      <c r="R425" t="s">
        <v>343</v>
      </c>
      <c r="T425" t="s">
        <v>344</v>
      </c>
      <c r="V425" t="s">
        <v>345</v>
      </c>
      <c r="Y425" t="s">
        <v>346</v>
      </c>
    </row>
    <row r="426" spans="1:25" ht="18" customHeight="1" x14ac:dyDescent="0.3">
      <c r="A426" t="s">
        <v>551</v>
      </c>
      <c r="M426">
        <v>0</v>
      </c>
      <c r="R426">
        <v>432.43</v>
      </c>
      <c r="T426">
        <v>-432.43</v>
      </c>
      <c r="V426">
        <v>0</v>
      </c>
    </row>
    <row r="427" spans="1:25" ht="11.25" customHeight="1" x14ac:dyDescent="0.3">
      <c r="M427">
        <v>0</v>
      </c>
      <c r="R427">
        <v>432.43</v>
      </c>
      <c r="T427">
        <v>-432.43</v>
      </c>
      <c r="V427">
        <v>0</v>
      </c>
    </row>
    <row r="428" spans="1:25" ht="25.95" customHeight="1" x14ac:dyDescent="0.3">
      <c r="A428" t="s">
        <v>552</v>
      </c>
    </row>
    <row r="429" spans="1:25" ht="15" customHeight="1" x14ac:dyDescent="0.3">
      <c r="A429" t="s">
        <v>365</v>
      </c>
      <c r="M429" t="s">
        <v>342</v>
      </c>
      <c r="R429" t="s">
        <v>343</v>
      </c>
      <c r="T429" t="s">
        <v>344</v>
      </c>
      <c r="V429" t="s">
        <v>345</v>
      </c>
      <c r="Y429" t="s">
        <v>346</v>
      </c>
    </row>
    <row r="430" spans="1:25" ht="18" customHeight="1" x14ac:dyDescent="0.3">
      <c r="A430" t="s">
        <v>553</v>
      </c>
      <c r="M430">
        <v>51500</v>
      </c>
      <c r="R430">
        <v>51500</v>
      </c>
      <c r="T430">
        <v>0</v>
      </c>
      <c r="V430">
        <v>0</v>
      </c>
    </row>
    <row r="431" spans="1:25" ht="12" customHeight="1" x14ac:dyDescent="0.3">
      <c r="M431">
        <v>51500</v>
      </c>
      <c r="R431">
        <v>51500</v>
      </c>
      <c r="T431">
        <v>0</v>
      </c>
      <c r="V431">
        <v>0</v>
      </c>
    </row>
    <row r="432" spans="1:25" ht="25.05" customHeight="1" x14ac:dyDescent="0.3">
      <c r="A432" t="s">
        <v>554</v>
      </c>
    </row>
    <row r="433" spans="1:25" ht="16.05" customHeight="1" x14ac:dyDescent="0.3">
      <c r="A433" t="s">
        <v>380</v>
      </c>
      <c r="R433" t="s">
        <v>343</v>
      </c>
      <c r="T433" t="s">
        <v>344</v>
      </c>
      <c r="V433" t="s">
        <v>345</v>
      </c>
      <c r="Y433" t="s">
        <v>346</v>
      </c>
    </row>
    <row r="434" spans="1:25" ht="18" customHeight="1" x14ac:dyDescent="0.3">
      <c r="A434" t="s">
        <v>555</v>
      </c>
      <c r="R434">
        <v>942.76</v>
      </c>
      <c r="T434">
        <v>-942.76</v>
      </c>
      <c r="V434">
        <v>0</v>
      </c>
    </row>
    <row r="435" spans="1:25" ht="11.25" customHeight="1" x14ac:dyDescent="0.3">
      <c r="A435">
        <v>0</v>
      </c>
      <c r="R435">
        <v>942.76</v>
      </c>
      <c r="T435">
        <v>-942.76</v>
      </c>
      <c r="V435">
        <v>0</v>
      </c>
    </row>
    <row r="436" spans="1:25" ht="25.95" customHeight="1" x14ac:dyDescent="0.3">
      <c r="A436" t="s">
        <v>556</v>
      </c>
    </row>
    <row r="437" spans="1:25" ht="15" customHeight="1" x14ac:dyDescent="0.3">
      <c r="A437" t="s">
        <v>380</v>
      </c>
      <c r="R437" t="s">
        <v>343</v>
      </c>
      <c r="T437" t="s">
        <v>344</v>
      </c>
      <c r="V437" t="s">
        <v>345</v>
      </c>
      <c r="Y437" t="s">
        <v>346</v>
      </c>
    </row>
    <row r="438" spans="1:25" ht="18" customHeight="1" x14ac:dyDescent="0.3">
      <c r="A438" t="s">
        <v>557</v>
      </c>
      <c r="R438">
        <v>986.3</v>
      </c>
      <c r="T438">
        <v>0</v>
      </c>
      <c r="V438">
        <v>0</v>
      </c>
    </row>
    <row r="439" spans="1:25" ht="12" customHeight="1" x14ac:dyDescent="0.3">
      <c r="A439">
        <v>986.3</v>
      </c>
      <c r="R439">
        <v>986.3</v>
      </c>
      <c r="T439">
        <v>0</v>
      </c>
      <c r="V439">
        <v>0</v>
      </c>
    </row>
    <row r="440" spans="1:25" ht="25.05" customHeight="1" x14ac:dyDescent="0.3">
      <c r="A440" t="s">
        <v>558</v>
      </c>
    </row>
    <row r="441" spans="1:25" ht="16.05" customHeight="1" x14ac:dyDescent="0.3">
      <c r="A441" t="s">
        <v>380</v>
      </c>
      <c r="R441" t="s">
        <v>343</v>
      </c>
      <c r="T441" t="s">
        <v>344</v>
      </c>
      <c r="V441" t="s">
        <v>345</v>
      </c>
      <c r="Y441" t="s">
        <v>346</v>
      </c>
    </row>
    <row r="442" spans="1:25" ht="18" customHeight="1" x14ac:dyDescent="0.3">
      <c r="A442" t="s">
        <v>559</v>
      </c>
      <c r="R442">
        <v>1972.6</v>
      </c>
      <c r="T442">
        <v>0</v>
      </c>
      <c r="V442">
        <v>0</v>
      </c>
    </row>
    <row r="443" spans="1:25" ht="11.25" customHeight="1" x14ac:dyDescent="0.3">
      <c r="A443">
        <v>1972.6</v>
      </c>
      <c r="R443">
        <v>1972.6</v>
      </c>
      <c r="T443">
        <v>0</v>
      </c>
      <c r="V443">
        <v>0</v>
      </c>
    </row>
    <row r="444" spans="1:25" ht="25.95" customHeight="1" x14ac:dyDescent="0.3">
      <c r="A444" t="s">
        <v>560</v>
      </c>
    </row>
    <row r="445" spans="1:25" ht="15" customHeight="1" x14ac:dyDescent="0.3">
      <c r="A445" t="s">
        <v>380</v>
      </c>
      <c r="R445" t="s">
        <v>343</v>
      </c>
      <c r="T445" t="s">
        <v>344</v>
      </c>
      <c r="V445" t="s">
        <v>345</v>
      </c>
      <c r="Y445" t="s">
        <v>346</v>
      </c>
    </row>
    <row r="446" spans="1:25" ht="18" customHeight="1" x14ac:dyDescent="0.3">
      <c r="A446" t="s">
        <v>561</v>
      </c>
      <c r="R446">
        <v>7643.84</v>
      </c>
      <c r="T446">
        <v>0</v>
      </c>
      <c r="V446">
        <v>0</v>
      </c>
    </row>
    <row r="447" spans="1:25" ht="12" customHeight="1" x14ac:dyDescent="0.3">
      <c r="A447">
        <v>7643.84</v>
      </c>
      <c r="R447">
        <v>7643.84</v>
      </c>
      <c r="T447">
        <v>0</v>
      </c>
      <c r="V447">
        <v>0</v>
      </c>
    </row>
    <row r="448" spans="1:25" ht="25.05" customHeight="1" x14ac:dyDescent="0.3">
      <c r="A448" t="s">
        <v>562</v>
      </c>
    </row>
    <row r="449" spans="1:25" ht="16.05" customHeight="1" x14ac:dyDescent="0.3">
      <c r="A449" t="s">
        <v>380</v>
      </c>
      <c r="R449" t="s">
        <v>343</v>
      </c>
      <c r="T449" t="s">
        <v>344</v>
      </c>
      <c r="V449" t="s">
        <v>345</v>
      </c>
      <c r="Y449" t="s">
        <v>346</v>
      </c>
    </row>
    <row r="450" spans="1:25" ht="18" customHeight="1" x14ac:dyDescent="0.3">
      <c r="A450" t="s">
        <v>563</v>
      </c>
      <c r="R450">
        <v>986.3</v>
      </c>
      <c r="T450">
        <v>0</v>
      </c>
      <c r="V450">
        <v>0</v>
      </c>
    </row>
    <row r="451" spans="1:25" ht="11.25" customHeight="1" x14ac:dyDescent="0.3">
      <c r="A451">
        <v>986.3</v>
      </c>
      <c r="R451">
        <v>986.3</v>
      </c>
      <c r="T451">
        <v>0</v>
      </c>
      <c r="V451">
        <v>0</v>
      </c>
    </row>
    <row r="452" spans="1:25" ht="25.95" customHeight="1" x14ac:dyDescent="0.3">
      <c r="A452" t="s">
        <v>564</v>
      </c>
    </row>
    <row r="453" spans="1:25" ht="15" customHeight="1" x14ac:dyDescent="0.3">
      <c r="A453" t="s">
        <v>380</v>
      </c>
      <c r="R453" t="s">
        <v>343</v>
      </c>
      <c r="T453" t="s">
        <v>344</v>
      </c>
      <c r="V453" t="s">
        <v>345</v>
      </c>
      <c r="Y453" t="s">
        <v>346</v>
      </c>
    </row>
    <row r="454" spans="1:25" ht="11.25" customHeight="1" x14ac:dyDescent="0.3">
      <c r="A454" t="s">
        <v>565</v>
      </c>
      <c r="R454">
        <v>7643.84</v>
      </c>
      <c r="T454">
        <v>0</v>
      </c>
      <c r="V454">
        <v>0</v>
      </c>
    </row>
    <row r="455" spans="1:25" ht="11.25" customHeight="1" x14ac:dyDescent="0.3">
      <c r="A455">
        <v>7643.84</v>
      </c>
      <c r="R455">
        <v>7643.84</v>
      </c>
      <c r="T455">
        <v>0</v>
      </c>
      <c r="V455">
        <v>0</v>
      </c>
    </row>
    <row r="456" spans="1:25" ht="6" customHeight="1" x14ac:dyDescent="0.3">
      <c r="B456" t="s">
        <v>566</v>
      </c>
    </row>
    <row r="457" spans="1:25" ht="35.549999999999997" customHeight="1" x14ac:dyDescent="0.3"/>
    <row r="458" spans="1:25" ht="18" customHeight="1" x14ac:dyDescent="0.3">
      <c r="A458" t="s">
        <v>567</v>
      </c>
      <c r="I458" t="s">
        <v>356</v>
      </c>
      <c r="M458" t="s">
        <v>568</v>
      </c>
      <c r="R458" t="s">
        <v>569</v>
      </c>
      <c r="T458" t="s">
        <v>570</v>
      </c>
      <c r="V458" t="s">
        <v>360</v>
      </c>
      <c r="Y458" t="s">
        <v>346</v>
      </c>
    </row>
    <row r="459" spans="1:25" ht="11.25" customHeight="1" x14ac:dyDescent="0.3">
      <c r="M459">
        <v>0</v>
      </c>
      <c r="R459">
        <v>1547.91</v>
      </c>
      <c r="T459">
        <v>-1547.91</v>
      </c>
      <c r="V459">
        <v>0</v>
      </c>
    </row>
    <row r="460" spans="1:25" ht="25.95" customHeight="1" x14ac:dyDescent="0.3">
      <c r="A460">
        <v>1142</v>
      </c>
      <c r="C460" t="s">
        <v>571</v>
      </c>
    </row>
    <row r="461" spans="1:25" ht="16.05" customHeight="1" x14ac:dyDescent="0.3">
      <c r="C461" t="s">
        <v>340</v>
      </c>
      <c r="K461" t="s">
        <v>341</v>
      </c>
      <c r="L461" t="s">
        <v>342</v>
      </c>
      <c r="Q461" t="s">
        <v>343</v>
      </c>
      <c r="S461" t="s">
        <v>344</v>
      </c>
      <c r="U461" t="s">
        <v>345</v>
      </c>
      <c r="X461" t="s">
        <v>346</v>
      </c>
    </row>
    <row r="462" spans="1:25" ht="18" customHeight="1" x14ac:dyDescent="0.3">
      <c r="A462" t="s">
        <v>572</v>
      </c>
      <c r="M462">
        <v>0</v>
      </c>
      <c r="R462">
        <v>775.92</v>
      </c>
      <c r="T462">
        <v>-775.92</v>
      </c>
      <c r="V462">
        <v>0</v>
      </c>
    </row>
    <row r="463" spans="1:25" ht="11.25" customHeight="1" x14ac:dyDescent="0.3">
      <c r="M463">
        <v>0</v>
      </c>
      <c r="R463">
        <v>775.92</v>
      </c>
      <c r="T463">
        <v>-775.92</v>
      </c>
      <c r="V463">
        <v>0</v>
      </c>
    </row>
    <row r="464" spans="1:25" ht="25.05" customHeight="1" x14ac:dyDescent="0.3">
      <c r="A464" t="s">
        <v>573</v>
      </c>
    </row>
    <row r="465" spans="1:25" ht="16.05" customHeight="1" x14ac:dyDescent="0.3">
      <c r="A465" t="s">
        <v>365</v>
      </c>
      <c r="M465" t="s">
        <v>342</v>
      </c>
      <c r="R465" t="s">
        <v>343</v>
      </c>
      <c r="T465" t="s">
        <v>344</v>
      </c>
      <c r="V465" t="s">
        <v>345</v>
      </c>
      <c r="Y465" t="s">
        <v>346</v>
      </c>
    </row>
    <row r="466" spans="1:25" ht="18" customHeight="1" x14ac:dyDescent="0.3">
      <c r="A466" t="s">
        <v>574</v>
      </c>
      <c r="M466">
        <v>0</v>
      </c>
      <c r="R466">
        <v>387.37</v>
      </c>
      <c r="T466">
        <v>-387.37</v>
      </c>
      <c r="V466">
        <v>0</v>
      </c>
    </row>
    <row r="467" spans="1:25" ht="11.25" customHeight="1" x14ac:dyDescent="0.3">
      <c r="M467">
        <v>0</v>
      </c>
      <c r="R467">
        <v>387.37</v>
      </c>
      <c r="T467">
        <v>-387.37</v>
      </c>
      <c r="V467">
        <v>0</v>
      </c>
    </row>
    <row r="468" spans="1:25" ht="25.95" customHeight="1" x14ac:dyDescent="0.3">
      <c r="A468">
        <v>1145</v>
      </c>
      <c r="C468" t="s">
        <v>575</v>
      </c>
    </row>
    <row r="469" spans="1:25" ht="13.05" customHeight="1" x14ac:dyDescent="0.3">
      <c r="C469" t="s">
        <v>340</v>
      </c>
      <c r="K469" t="s">
        <v>341</v>
      </c>
      <c r="L469" t="s">
        <v>342</v>
      </c>
      <c r="Q469" t="s">
        <v>343</v>
      </c>
      <c r="S469" t="s">
        <v>344</v>
      </c>
      <c r="U469" t="s">
        <v>345</v>
      </c>
      <c r="X469" t="s">
        <v>346</v>
      </c>
    </row>
    <row r="470" spans="1:25" ht="15" customHeight="1" x14ac:dyDescent="0.3">
      <c r="A470" t="s">
        <v>576</v>
      </c>
      <c r="M470">
        <v>382.19</v>
      </c>
      <c r="R470">
        <v>382.19</v>
      </c>
      <c r="T470">
        <v>0</v>
      </c>
      <c r="V470">
        <v>0</v>
      </c>
    </row>
    <row r="471" spans="1:25" ht="18" customHeight="1" x14ac:dyDescent="0.3">
      <c r="A471" t="s">
        <v>577</v>
      </c>
      <c r="M471">
        <v>76.44</v>
      </c>
      <c r="R471">
        <v>76.44</v>
      </c>
      <c r="T471">
        <v>0</v>
      </c>
      <c r="V471">
        <v>0</v>
      </c>
    </row>
    <row r="472" spans="1:25" ht="11.25" customHeight="1" x14ac:dyDescent="0.3">
      <c r="M472">
        <v>458.63</v>
      </c>
      <c r="R472">
        <v>458.63</v>
      </c>
      <c r="T472">
        <v>0</v>
      </c>
      <c r="V472">
        <v>0</v>
      </c>
    </row>
    <row r="473" spans="1:25" ht="25.05" customHeight="1" x14ac:dyDescent="0.3">
      <c r="A473" t="s">
        <v>578</v>
      </c>
    </row>
    <row r="474" spans="1:25" ht="16.05" customHeight="1" x14ac:dyDescent="0.3">
      <c r="A474" t="s">
        <v>365</v>
      </c>
      <c r="M474" t="s">
        <v>342</v>
      </c>
      <c r="R474" t="s">
        <v>343</v>
      </c>
      <c r="T474" t="s">
        <v>344</v>
      </c>
      <c r="V474" t="s">
        <v>345</v>
      </c>
      <c r="Y474" t="s">
        <v>346</v>
      </c>
    </row>
    <row r="475" spans="1:25" ht="18" customHeight="1" x14ac:dyDescent="0.3">
      <c r="A475" t="s">
        <v>579</v>
      </c>
      <c r="M475">
        <v>3287.67</v>
      </c>
      <c r="R475">
        <v>3287.67</v>
      </c>
      <c r="T475">
        <v>0</v>
      </c>
      <c r="V475">
        <v>0</v>
      </c>
    </row>
    <row r="476" spans="1:25" ht="11.25" customHeight="1" x14ac:dyDescent="0.3">
      <c r="M476">
        <v>3287.67</v>
      </c>
      <c r="R476">
        <v>3287.67</v>
      </c>
      <c r="T476">
        <v>0</v>
      </c>
      <c r="V476">
        <v>0</v>
      </c>
    </row>
    <row r="477" spans="1:25" ht="25.95" customHeight="1" x14ac:dyDescent="0.3">
      <c r="A477">
        <v>1147</v>
      </c>
      <c r="C477" t="s">
        <v>580</v>
      </c>
    </row>
    <row r="478" spans="1:25" ht="13.05" customHeight="1" x14ac:dyDescent="0.3">
      <c r="C478" t="s">
        <v>340</v>
      </c>
      <c r="K478" t="s">
        <v>341</v>
      </c>
      <c r="L478" t="s">
        <v>342</v>
      </c>
      <c r="Q478" t="s">
        <v>343</v>
      </c>
      <c r="S478" t="s">
        <v>344</v>
      </c>
      <c r="U478" t="s">
        <v>345</v>
      </c>
      <c r="X478" t="s">
        <v>346</v>
      </c>
    </row>
    <row r="479" spans="1:25" ht="15" customHeight="1" x14ac:dyDescent="0.3">
      <c r="A479" t="s">
        <v>581</v>
      </c>
      <c r="R479">
        <v>287.67</v>
      </c>
      <c r="T479">
        <v>0</v>
      </c>
      <c r="V479">
        <v>0</v>
      </c>
    </row>
    <row r="480" spans="1:25" ht="18" customHeight="1" x14ac:dyDescent="0.3">
      <c r="A480" t="s">
        <v>582</v>
      </c>
      <c r="R480">
        <v>363.09</v>
      </c>
      <c r="T480">
        <v>-363.09</v>
      </c>
      <c r="V480">
        <v>0</v>
      </c>
    </row>
    <row r="481" spans="1:25" ht="11.25" customHeight="1" x14ac:dyDescent="0.3">
      <c r="A481">
        <v>287.67</v>
      </c>
      <c r="R481">
        <v>650.76</v>
      </c>
      <c r="T481">
        <v>-363.09</v>
      </c>
      <c r="V481">
        <v>0</v>
      </c>
    </row>
    <row r="482" spans="1:25" ht="25.05" customHeight="1" x14ac:dyDescent="0.3">
      <c r="A482" t="s">
        <v>583</v>
      </c>
    </row>
    <row r="483" spans="1:25" ht="16.05" customHeight="1" x14ac:dyDescent="0.3">
      <c r="A483" t="s">
        <v>380</v>
      </c>
      <c r="R483" t="s">
        <v>343</v>
      </c>
      <c r="T483" t="s">
        <v>344</v>
      </c>
      <c r="V483" t="s">
        <v>345</v>
      </c>
      <c r="Y483" t="s">
        <v>346</v>
      </c>
    </row>
    <row r="484" spans="1:25" ht="18" customHeight="1" x14ac:dyDescent="0.3">
      <c r="A484" t="s">
        <v>584</v>
      </c>
      <c r="R484">
        <v>382.19</v>
      </c>
      <c r="T484">
        <v>0</v>
      </c>
      <c r="V484">
        <v>0</v>
      </c>
    </row>
    <row r="485" spans="1:25" ht="11.25" customHeight="1" x14ac:dyDescent="0.3">
      <c r="A485">
        <v>382.19</v>
      </c>
      <c r="R485">
        <v>382.19</v>
      </c>
      <c r="T485">
        <v>0</v>
      </c>
      <c r="V485">
        <v>0</v>
      </c>
    </row>
    <row r="486" spans="1:25" ht="25.95" customHeight="1" x14ac:dyDescent="0.3">
      <c r="A486">
        <v>1149</v>
      </c>
      <c r="C486" t="s">
        <v>585</v>
      </c>
    </row>
    <row r="487" spans="1:25" ht="13.05" customHeight="1" x14ac:dyDescent="0.3">
      <c r="C487" t="s">
        <v>340</v>
      </c>
      <c r="K487" t="s">
        <v>341</v>
      </c>
      <c r="L487" t="s">
        <v>342</v>
      </c>
      <c r="Q487" t="s">
        <v>343</v>
      </c>
      <c r="S487" t="s">
        <v>344</v>
      </c>
      <c r="U487" t="s">
        <v>345</v>
      </c>
      <c r="X487" t="s">
        <v>346</v>
      </c>
    </row>
    <row r="488" spans="1:25" ht="15" customHeight="1" x14ac:dyDescent="0.3">
      <c r="A488" t="s">
        <v>586</v>
      </c>
      <c r="M488">
        <v>0</v>
      </c>
      <c r="R488">
        <v>1001.04</v>
      </c>
      <c r="T488">
        <v>-1001.04</v>
      </c>
      <c r="V488">
        <v>0</v>
      </c>
    </row>
    <row r="489" spans="1:25" ht="18" customHeight="1" x14ac:dyDescent="0.3">
      <c r="A489" t="s">
        <v>587</v>
      </c>
      <c r="M489">
        <v>0</v>
      </c>
      <c r="R489">
        <v>382.87</v>
      </c>
      <c r="T489">
        <v>-382.87</v>
      </c>
      <c r="V489">
        <v>0</v>
      </c>
    </row>
    <row r="490" spans="1:25" ht="11.25" customHeight="1" x14ac:dyDescent="0.3">
      <c r="M490">
        <v>0</v>
      </c>
      <c r="R490">
        <v>1383.91</v>
      </c>
      <c r="T490">
        <v>-1383.91</v>
      </c>
      <c r="V490">
        <v>0</v>
      </c>
    </row>
    <row r="491" spans="1:25" ht="25.05" customHeight="1" x14ac:dyDescent="0.3">
      <c r="A491" t="s">
        <v>588</v>
      </c>
    </row>
    <row r="492" spans="1:25" ht="16.05" customHeight="1" x14ac:dyDescent="0.3">
      <c r="A492" t="s">
        <v>365</v>
      </c>
      <c r="M492" t="s">
        <v>342</v>
      </c>
      <c r="R492" t="s">
        <v>343</v>
      </c>
      <c r="T492" t="s">
        <v>344</v>
      </c>
      <c r="V492" t="s">
        <v>345</v>
      </c>
      <c r="Y492" t="s">
        <v>346</v>
      </c>
    </row>
    <row r="493" spans="1:25" ht="11.25" customHeight="1" x14ac:dyDescent="0.3">
      <c r="A493" t="s">
        <v>589</v>
      </c>
      <c r="M493">
        <v>0</v>
      </c>
      <c r="R493">
        <v>4963.93</v>
      </c>
      <c r="T493">
        <v>-4963.93</v>
      </c>
      <c r="V493">
        <v>0</v>
      </c>
    </row>
    <row r="494" spans="1:25" ht="11.25" customHeight="1" x14ac:dyDescent="0.3">
      <c r="M494">
        <v>0</v>
      </c>
      <c r="R494">
        <v>4963.93</v>
      </c>
      <c r="T494">
        <v>-4963.93</v>
      </c>
      <c r="V494">
        <v>0</v>
      </c>
    </row>
    <row r="495" spans="1:25" ht="6" customHeight="1" x14ac:dyDescent="0.3">
      <c r="B495" t="s">
        <v>590</v>
      </c>
    </row>
    <row r="496" spans="1:25" ht="35.549999999999997" customHeight="1" x14ac:dyDescent="0.3"/>
    <row r="497" spans="1:25" ht="18" customHeight="1" x14ac:dyDescent="0.3">
      <c r="A497" t="s">
        <v>591</v>
      </c>
      <c r="I497" t="s">
        <v>356</v>
      </c>
      <c r="M497" t="s">
        <v>592</v>
      </c>
      <c r="R497" t="s">
        <v>593</v>
      </c>
      <c r="T497" t="s">
        <v>359</v>
      </c>
      <c r="V497" t="s">
        <v>360</v>
      </c>
      <c r="Y497" t="s">
        <v>346</v>
      </c>
    </row>
    <row r="498" spans="1:25" ht="11.25" customHeight="1" x14ac:dyDescent="0.3">
      <c r="M498">
        <v>2465.75</v>
      </c>
      <c r="R498">
        <v>2465.75</v>
      </c>
      <c r="T498">
        <v>0</v>
      </c>
      <c r="V498">
        <v>0</v>
      </c>
    </row>
    <row r="499" spans="1:25" ht="25.95" customHeight="1" x14ac:dyDescent="0.3">
      <c r="A499">
        <v>1152</v>
      </c>
      <c r="C499" t="s">
        <v>594</v>
      </c>
    </row>
    <row r="500" spans="1:25" ht="16.05" customHeight="1" x14ac:dyDescent="0.3">
      <c r="C500" t="s">
        <v>340</v>
      </c>
      <c r="J500" t="s">
        <v>341</v>
      </c>
      <c r="L500" t="s">
        <v>342</v>
      </c>
      <c r="Q500" t="s">
        <v>343</v>
      </c>
      <c r="S500" t="s">
        <v>344</v>
      </c>
      <c r="U500" t="s">
        <v>345</v>
      </c>
      <c r="X500" t="s">
        <v>346</v>
      </c>
    </row>
    <row r="501" spans="1:25" ht="18" customHeight="1" x14ac:dyDescent="0.3">
      <c r="A501" t="s">
        <v>595</v>
      </c>
      <c r="M501">
        <v>19726.03</v>
      </c>
      <c r="R501">
        <v>19726.03</v>
      </c>
      <c r="T501">
        <v>0</v>
      </c>
      <c r="V501">
        <v>0</v>
      </c>
    </row>
    <row r="502" spans="1:25" ht="11.25" customHeight="1" x14ac:dyDescent="0.3">
      <c r="M502">
        <v>19726.03</v>
      </c>
      <c r="R502">
        <v>19726.03</v>
      </c>
      <c r="T502">
        <v>0</v>
      </c>
      <c r="V502">
        <v>0</v>
      </c>
    </row>
    <row r="503" spans="1:25" ht="25.05" customHeight="1" x14ac:dyDescent="0.3">
      <c r="A503" t="s">
        <v>596</v>
      </c>
    </row>
    <row r="504" spans="1:25" ht="16.05" customHeight="1" x14ac:dyDescent="0.3">
      <c r="A504" t="s">
        <v>365</v>
      </c>
      <c r="M504" t="s">
        <v>342</v>
      </c>
      <c r="R504" t="s">
        <v>343</v>
      </c>
      <c r="T504" t="s">
        <v>344</v>
      </c>
      <c r="V504" t="s">
        <v>345</v>
      </c>
      <c r="Y504" t="s">
        <v>346</v>
      </c>
    </row>
    <row r="505" spans="1:25" ht="18" customHeight="1" x14ac:dyDescent="0.3">
      <c r="A505" t="s">
        <v>597</v>
      </c>
      <c r="M505">
        <v>0</v>
      </c>
      <c r="R505">
        <v>2972.52</v>
      </c>
      <c r="T505">
        <v>-2972.52</v>
      </c>
      <c r="V505">
        <v>0</v>
      </c>
    </row>
    <row r="506" spans="1:25" ht="11.25" customHeight="1" x14ac:dyDescent="0.3">
      <c r="M506">
        <v>0</v>
      </c>
      <c r="R506">
        <v>2972.52</v>
      </c>
      <c r="T506">
        <v>-2972.52</v>
      </c>
      <c r="V506">
        <v>0</v>
      </c>
    </row>
    <row r="507" spans="1:25" ht="25.95" customHeight="1" x14ac:dyDescent="0.3">
      <c r="A507" t="s">
        <v>598</v>
      </c>
    </row>
    <row r="508" spans="1:25" ht="16.05" customHeight="1" x14ac:dyDescent="0.3">
      <c r="A508" t="s">
        <v>365</v>
      </c>
      <c r="M508" t="s">
        <v>342</v>
      </c>
      <c r="R508" t="s">
        <v>343</v>
      </c>
      <c r="T508" t="s">
        <v>344</v>
      </c>
      <c r="V508" t="s">
        <v>345</v>
      </c>
      <c r="Y508" t="s">
        <v>346</v>
      </c>
    </row>
    <row r="509" spans="1:25" ht="18" customHeight="1" x14ac:dyDescent="0.3">
      <c r="A509" t="s">
        <v>599</v>
      </c>
      <c r="M509">
        <v>4931.51</v>
      </c>
      <c r="R509">
        <v>4931.51</v>
      </c>
      <c r="T509">
        <v>0</v>
      </c>
      <c r="V509">
        <v>0</v>
      </c>
    </row>
    <row r="510" spans="1:25" ht="11.25" customHeight="1" x14ac:dyDescent="0.3">
      <c r="M510">
        <v>4931.51</v>
      </c>
      <c r="R510">
        <v>4931.51</v>
      </c>
      <c r="T510">
        <v>0</v>
      </c>
      <c r="V510">
        <v>0</v>
      </c>
    </row>
    <row r="511" spans="1:25" ht="25.05" customHeight="1" x14ac:dyDescent="0.3">
      <c r="A511" t="s">
        <v>600</v>
      </c>
    </row>
    <row r="512" spans="1:25" ht="16.05" customHeight="1" x14ac:dyDescent="0.3">
      <c r="A512" t="s">
        <v>365</v>
      </c>
      <c r="M512" t="s">
        <v>342</v>
      </c>
      <c r="R512" t="s">
        <v>343</v>
      </c>
      <c r="T512" t="s">
        <v>344</v>
      </c>
      <c r="V512" t="s">
        <v>345</v>
      </c>
      <c r="Y512" t="s">
        <v>346</v>
      </c>
    </row>
    <row r="513" spans="1:25" ht="18" customHeight="1" x14ac:dyDescent="0.3">
      <c r="A513" t="s">
        <v>601</v>
      </c>
      <c r="M513">
        <v>0</v>
      </c>
      <c r="R513">
        <v>4947.72</v>
      </c>
      <c r="T513">
        <v>-4947.72</v>
      </c>
      <c r="V513">
        <v>0</v>
      </c>
    </row>
    <row r="514" spans="1:25" ht="11.25" customHeight="1" x14ac:dyDescent="0.3">
      <c r="M514">
        <v>0</v>
      </c>
      <c r="R514">
        <v>4947.72</v>
      </c>
      <c r="T514">
        <v>-4947.72</v>
      </c>
      <c r="V514">
        <v>0</v>
      </c>
    </row>
    <row r="515" spans="1:25" ht="25.95" customHeight="1" x14ac:dyDescent="0.3">
      <c r="A515" t="s">
        <v>602</v>
      </c>
    </row>
    <row r="516" spans="1:25" ht="16.05" customHeight="1" x14ac:dyDescent="0.3">
      <c r="A516" t="s">
        <v>365</v>
      </c>
      <c r="M516" t="s">
        <v>342</v>
      </c>
      <c r="R516" t="s">
        <v>343</v>
      </c>
      <c r="T516" t="s">
        <v>344</v>
      </c>
      <c r="V516" t="s">
        <v>345</v>
      </c>
      <c r="Y516" t="s">
        <v>346</v>
      </c>
    </row>
    <row r="517" spans="1:25" ht="18" customHeight="1" x14ac:dyDescent="0.3">
      <c r="A517" t="s">
        <v>603</v>
      </c>
      <c r="M517">
        <v>2465.75</v>
      </c>
      <c r="R517">
        <v>2465.75</v>
      </c>
      <c r="T517">
        <v>0</v>
      </c>
      <c r="V517">
        <v>0</v>
      </c>
    </row>
    <row r="518" spans="1:25" ht="11.25" customHeight="1" x14ac:dyDescent="0.3">
      <c r="M518">
        <v>2465.75</v>
      </c>
      <c r="R518">
        <v>2465.75</v>
      </c>
      <c r="T518">
        <v>0</v>
      </c>
      <c r="V518">
        <v>0</v>
      </c>
    </row>
    <row r="519" spans="1:25" ht="25.05" customHeight="1" x14ac:dyDescent="0.3">
      <c r="A519" t="s">
        <v>604</v>
      </c>
    </row>
    <row r="520" spans="1:25" ht="16.05" customHeight="1" x14ac:dyDescent="0.3">
      <c r="A520" t="s">
        <v>365</v>
      </c>
      <c r="M520" t="s">
        <v>342</v>
      </c>
      <c r="R520" t="s">
        <v>343</v>
      </c>
      <c r="T520" t="s">
        <v>344</v>
      </c>
      <c r="V520" t="s">
        <v>345</v>
      </c>
      <c r="Y520" t="s">
        <v>346</v>
      </c>
    </row>
    <row r="521" spans="1:25" ht="18" customHeight="1" x14ac:dyDescent="0.3">
      <c r="A521" t="s">
        <v>605</v>
      </c>
      <c r="M521">
        <v>2136.9899999999998</v>
      </c>
      <c r="R521">
        <v>2136.9899999999998</v>
      </c>
      <c r="T521">
        <v>0</v>
      </c>
      <c r="V521">
        <v>0</v>
      </c>
    </row>
    <row r="522" spans="1:25" ht="11.25" customHeight="1" x14ac:dyDescent="0.3">
      <c r="M522">
        <v>2136.9899999999998</v>
      </c>
      <c r="R522">
        <v>2136.9899999999998</v>
      </c>
      <c r="T522">
        <v>0</v>
      </c>
      <c r="V522">
        <v>0</v>
      </c>
    </row>
    <row r="523" spans="1:25" ht="25.95" customHeight="1" x14ac:dyDescent="0.3">
      <c r="A523">
        <v>1158</v>
      </c>
      <c r="C523" t="s">
        <v>606</v>
      </c>
    </row>
    <row r="524" spans="1:25" ht="16.05" customHeight="1" x14ac:dyDescent="0.3">
      <c r="C524" t="s">
        <v>340</v>
      </c>
      <c r="J524" t="s">
        <v>341</v>
      </c>
      <c r="L524" t="s">
        <v>342</v>
      </c>
      <c r="Q524" t="s">
        <v>343</v>
      </c>
      <c r="S524" t="s">
        <v>344</v>
      </c>
      <c r="U524" t="s">
        <v>345</v>
      </c>
      <c r="X524" t="s">
        <v>346</v>
      </c>
    </row>
    <row r="525" spans="1:25" ht="18" customHeight="1" x14ac:dyDescent="0.3">
      <c r="A525" t="s">
        <v>607</v>
      </c>
      <c r="M525">
        <v>2082.19</v>
      </c>
      <c r="R525">
        <v>2082.19</v>
      </c>
      <c r="T525">
        <v>0</v>
      </c>
      <c r="V525">
        <v>0</v>
      </c>
    </row>
    <row r="526" spans="1:25" ht="11.25" customHeight="1" x14ac:dyDescent="0.3">
      <c r="M526">
        <v>2082.19</v>
      </c>
      <c r="R526">
        <v>2082.19</v>
      </c>
      <c r="T526">
        <v>0</v>
      </c>
      <c r="V526">
        <v>0</v>
      </c>
    </row>
    <row r="527" spans="1:25" ht="25.05" customHeight="1" x14ac:dyDescent="0.3">
      <c r="A527" t="s">
        <v>608</v>
      </c>
    </row>
    <row r="528" spans="1:25" ht="16.05" customHeight="1" x14ac:dyDescent="0.3">
      <c r="A528" t="s">
        <v>365</v>
      </c>
      <c r="M528" t="s">
        <v>342</v>
      </c>
      <c r="R528" t="s">
        <v>343</v>
      </c>
      <c r="T528" t="s">
        <v>344</v>
      </c>
      <c r="V528" t="s">
        <v>345</v>
      </c>
      <c r="Y528" t="s">
        <v>346</v>
      </c>
    </row>
    <row r="529" spans="1:22" ht="22.05" customHeight="1" x14ac:dyDescent="0.3">
      <c r="A529" t="s">
        <v>609</v>
      </c>
      <c r="M529">
        <v>9205.48</v>
      </c>
      <c r="R529">
        <v>9205.48</v>
      </c>
      <c r="T529">
        <v>0</v>
      </c>
      <c r="V529">
        <v>0</v>
      </c>
    </row>
    <row r="530" spans="1:22" ht="11.7" customHeight="1" x14ac:dyDescent="0.3">
      <c r="M530">
        <v>9205.48</v>
      </c>
      <c r="R530">
        <v>9205.48</v>
      </c>
      <c r="T530">
        <v>0</v>
      </c>
      <c r="V530">
        <v>0</v>
      </c>
    </row>
    <row r="531" spans="1:22" x14ac:dyDescent="0.3">
      <c r="M531">
        <v>479426.7</v>
      </c>
      <c r="R531">
        <v>558660.78</v>
      </c>
      <c r="T531">
        <v>-79234.080000000002</v>
      </c>
      <c r="V531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2065-61B8-45F0-994A-E1B99D5CF6B5}">
  <sheetPr codeName="Sheet2"/>
  <dimension ref="A1:B112"/>
  <sheetViews>
    <sheetView workbookViewId="0">
      <selection activeCell="E13" sqref="E13"/>
    </sheetView>
  </sheetViews>
  <sheetFormatPr defaultRowHeight="14.4" x14ac:dyDescent="0.3"/>
  <cols>
    <col min="1" max="1" width="35" bestFit="1" customWidth="1"/>
    <col min="2" max="2" width="16.5546875" bestFit="1" customWidth="1"/>
  </cols>
  <sheetData>
    <row r="1" spans="1:2" x14ac:dyDescent="0.3">
      <c r="A1" s="1" t="s">
        <v>109</v>
      </c>
    </row>
    <row r="2" spans="1:2" x14ac:dyDescent="0.3">
      <c r="A2" t="s">
        <v>40</v>
      </c>
    </row>
    <row r="3" spans="1:2" x14ac:dyDescent="0.3">
      <c r="A3" t="s">
        <v>30</v>
      </c>
    </row>
    <row r="4" spans="1:2" x14ac:dyDescent="0.3">
      <c r="A4" t="s">
        <v>97</v>
      </c>
      <c r="B4" t="s">
        <v>108</v>
      </c>
    </row>
    <row r="5" spans="1:2" x14ac:dyDescent="0.3">
      <c r="A5" t="s">
        <v>92</v>
      </c>
    </row>
    <row r="6" spans="1:2" x14ac:dyDescent="0.3">
      <c r="A6" t="s">
        <v>76</v>
      </c>
    </row>
    <row r="7" spans="1:2" x14ac:dyDescent="0.3">
      <c r="A7" t="s">
        <v>15</v>
      </c>
    </row>
    <row r="8" spans="1:2" x14ac:dyDescent="0.3">
      <c r="A8" t="s">
        <v>95</v>
      </c>
    </row>
    <row r="9" spans="1:2" x14ac:dyDescent="0.3">
      <c r="A9" t="s">
        <v>37</v>
      </c>
    </row>
    <row r="10" spans="1:2" x14ac:dyDescent="0.3">
      <c r="A10" t="s">
        <v>16</v>
      </c>
    </row>
    <row r="11" spans="1:2" x14ac:dyDescent="0.3">
      <c r="A11" t="s">
        <v>94</v>
      </c>
    </row>
    <row r="12" spans="1:2" x14ac:dyDescent="0.3">
      <c r="A12" t="s">
        <v>34</v>
      </c>
    </row>
    <row r="13" spans="1:2" x14ac:dyDescent="0.3">
      <c r="A13" t="s">
        <v>96</v>
      </c>
    </row>
    <row r="14" spans="1:2" x14ac:dyDescent="0.3">
      <c r="A14" t="s">
        <v>38</v>
      </c>
    </row>
    <row r="15" spans="1:2" x14ac:dyDescent="0.3">
      <c r="A15" t="s">
        <v>105</v>
      </c>
    </row>
    <row r="16" spans="1:2" x14ac:dyDescent="0.3">
      <c r="A16" t="s">
        <v>79</v>
      </c>
    </row>
    <row r="17" spans="1:2" x14ac:dyDescent="0.3">
      <c r="A17" t="s">
        <v>45</v>
      </c>
    </row>
    <row r="18" spans="1:2" x14ac:dyDescent="0.3">
      <c r="A18" t="s">
        <v>91</v>
      </c>
    </row>
    <row r="19" spans="1:2" x14ac:dyDescent="0.3">
      <c r="A19" t="s">
        <v>11</v>
      </c>
    </row>
    <row r="20" spans="1:2" x14ac:dyDescent="0.3">
      <c r="A20" t="s">
        <v>83</v>
      </c>
      <c r="B20" t="s">
        <v>247</v>
      </c>
    </row>
    <row r="21" spans="1:2" x14ac:dyDescent="0.3">
      <c r="A21" t="s">
        <v>103</v>
      </c>
    </row>
    <row r="22" spans="1:2" x14ac:dyDescent="0.3">
      <c r="A22" t="s">
        <v>81</v>
      </c>
    </row>
    <row r="23" spans="1:2" x14ac:dyDescent="0.3">
      <c r="A23" t="s">
        <v>66</v>
      </c>
    </row>
    <row r="24" spans="1:2" x14ac:dyDescent="0.3">
      <c r="A24" t="s">
        <v>86</v>
      </c>
    </row>
    <row r="25" spans="1:2" x14ac:dyDescent="0.3">
      <c r="A25" t="s">
        <v>82</v>
      </c>
    </row>
    <row r="26" spans="1:2" x14ac:dyDescent="0.3">
      <c r="A26" t="s">
        <v>31</v>
      </c>
    </row>
    <row r="27" spans="1:2" x14ac:dyDescent="0.3">
      <c r="A27" t="s">
        <v>75</v>
      </c>
    </row>
    <row r="28" spans="1:2" x14ac:dyDescent="0.3">
      <c r="A28" t="s">
        <v>87</v>
      </c>
    </row>
    <row r="29" spans="1:2" x14ac:dyDescent="0.3">
      <c r="A29" t="s">
        <v>55</v>
      </c>
      <c r="B29" t="s">
        <v>110</v>
      </c>
    </row>
    <row r="30" spans="1:2" x14ac:dyDescent="0.3">
      <c r="A30" t="s">
        <v>63</v>
      </c>
    </row>
    <row r="31" spans="1:2" x14ac:dyDescent="0.3">
      <c r="A31" t="s">
        <v>99</v>
      </c>
    </row>
    <row r="32" spans="1:2" x14ac:dyDescent="0.3">
      <c r="A32" t="s">
        <v>69</v>
      </c>
    </row>
    <row r="33" spans="1:1" x14ac:dyDescent="0.3">
      <c r="A33" t="s">
        <v>65</v>
      </c>
    </row>
    <row r="34" spans="1:1" x14ac:dyDescent="0.3">
      <c r="A34" t="s">
        <v>67</v>
      </c>
    </row>
    <row r="35" spans="1:1" x14ac:dyDescent="0.3">
      <c r="A35" t="s">
        <v>48</v>
      </c>
    </row>
    <row r="36" spans="1:1" x14ac:dyDescent="0.3">
      <c r="A36" t="s">
        <v>58</v>
      </c>
    </row>
    <row r="37" spans="1:1" x14ac:dyDescent="0.3">
      <c r="A37" t="s">
        <v>41</v>
      </c>
    </row>
    <row r="38" spans="1:1" x14ac:dyDescent="0.3">
      <c r="A38" t="s">
        <v>74</v>
      </c>
    </row>
    <row r="39" spans="1:1" x14ac:dyDescent="0.3">
      <c r="A39" t="s">
        <v>7</v>
      </c>
    </row>
    <row r="40" spans="1:1" x14ac:dyDescent="0.3">
      <c r="A40" t="s">
        <v>61</v>
      </c>
    </row>
    <row r="41" spans="1:1" x14ac:dyDescent="0.3">
      <c r="A41" t="s">
        <v>59</v>
      </c>
    </row>
    <row r="42" spans="1:1" x14ac:dyDescent="0.3">
      <c r="A42" t="s">
        <v>14</v>
      </c>
    </row>
    <row r="43" spans="1:1" x14ac:dyDescent="0.3">
      <c r="A43" t="s">
        <v>54</v>
      </c>
    </row>
    <row r="44" spans="1:1" x14ac:dyDescent="0.3">
      <c r="A44" t="s">
        <v>104</v>
      </c>
    </row>
    <row r="45" spans="1:1" x14ac:dyDescent="0.3">
      <c r="A45" t="s">
        <v>17</v>
      </c>
    </row>
    <row r="46" spans="1:1" x14ac:dyDescent="0.3">
      <c r="A46" t="s">
        <v>56</v>
      </c>
    </row>
    <row r="47" spans="1:1" x14ac:dyDescent="0.3">
      <c r="A47" t="s">
        <v>71</v>
      </c>
    </row>
    <row r="48" spans="1:1" x14ac:dyDescent="0.3">
      <c r="A48" t="s">
        <v>49</v>
      </c>
    </row>
    <row r="49" spans="1:2" x14ac:dyDescent="0.3">
      <c r="A49" t="s">
        <v>90</v>
      </c>
    </row>
    <row r="50" spans="1:2" x14ac:dyDescent="0.3">
      <c r="A50" t="s">
        <v>89</v>
      </c>
    </row>
    <row r="51" spans="1:2" x14ac:dyDescent="0.3">
      <c r="A51" t="s">
        <v>64</v>
      </c>
    </row>
    <row r="52" spans="1:2" x14ac:dyDescent="0.3">
      <c r="A52" t="s">
        <v>53</v>
      </c>
    </row>
    <row r="53" spans="1:2" x14ac:dyDescent="0.3">
      <c r="A53" t="s">
        <v>60</v>
      </c>
    </row>
    <row r="54" spans="1:2" x14ac:dyDescent="0.3">
      <c r="A54" t="s">
        <v>29</v>
      </c>
    </row>
    <row r="55" spans="1:2" x14ac:dyDescent="0.3">
      <c r="A55" t="s">
        <v>80</v>
      </c>
      <c r="B55" t="s">
        <v>33</v>
      </c>
    </row>
    <row r="56" spans="1:2" x14ac:dyDescent="0.3">
      <c r="A56" t="s">
        <v>98</v>
      </c>
    </row>
    <row r="57" spans="1:2" x14ac:dyDescent="0.3">
      <c r="A57" t="s">
        <v>93</v>
      </c>
    </row>
    <row r="58" spans="1:2" x14ac:dyDescent="0.3">
      <c r="A58" t="s">
        <v>70</v>
      </c>
    </row>
    <row r="59" spans="1:2" x14ac:dyDescent="0.3">
      <c r="A59" t="s">
        <v>57</v>
      </c>
    </row>
    <row r="60" spans="1:2" x14ac:dyDescent="0.3">
      <c r="A60" t="s">
        <v>2</v>
      </c>
    </row>
    <row r="61" spans="1:2" x14ac:dyDescent="0.3">
      <c r="A61" t="s">
        <v>35</v>
      </c>
    </row>
    <row r="62" spans="1:2" x14ac:dyDescent="0.3">
      <c r="A62" t="s">
        <v>52</v>
      </c>
    </row>
    <row r="63" spans="1:2" x14ac:dyDescent="0.3">
      <c r="A63" t="s">
        <v>20</v>
      </c>
    </row>
    <row r="64" spans="1:2" x14ac:dyDescent="0.3">
      <c r="A64" t="s">
        <v>27</v>
      </c>
    </row>
    <row r="65" spans="1:2" x14ac:dyDescent="0.3">
      <c r="A65" t="s">
        <v>88</v>
      </c>
    </row>
    <row r="66" spans="1:2" x14ac:dyDescent="0.3">
      <c r="A66" t="s">
        <v>72</v>
      </c>
    </row>
    <row r="67" spans="1:2" x14ac:dyDescent="0.3">
      <c r="A67" t="s">
        <v>24</v>
      </c>
    </row>
    <row r="68" spans="1:2" x14ac:dyDescent="0.3">
      <c r="A68" t="s">
        <v>77</v>
      </c>
    </row>
    <row r="69" spans="1:2" x14ac:dyDescent="0.3">
      <c r="A69" t="s">
        <v>21</v>
      </c>
      <c r="B69" t="s">
        <v>111</v>
      </c>
    </row>
    <row r="70" spans="1:2" x14ac:dyDescent="0.3">
      <c r="A70" t="s">
        <v>42</v>
      </c>
    </row>
    <row r="71" spans="1:2" x14ac:dyDescent="0.3">
      <c r="A71" t="s">
        <v>84</v>
      </c>
    </row>
    <row r="72" spans="1:2" x14ac:dyDescent="0.3">
      <c r="A72" t="s">
        <v>23</v>
      </c>
    </row>
    <row r="73" spans="1:2" x14ac:dyDescent="0.3">
      <c r="A73" t="s">
        <v>25</v>
      </c>
    </row>
    <row r="74" spans="1:2" x14ac:dyDescent="0.3">
      <c r="A74" t="s">
        <v>68</v>
      </c>
    </row>
    <row r="75" spans="1:2" x14ac:dyDescent="0.3">
      <c r="A75" t="s">
        <v>106</v>
      </c>
    </row>
    <row r="76" spans="1:2" x14ac:dyDescent="0.3">
      <c r="A76" t="s">
        <v>22</v>
      </c>
      <c r="B76" t="s">
        <v>111</v>
      </c>
    </row>
    <row r="77" spans="1:2" x14ac:dyDescent="0.3">
      <c r="A77" t="s">
        <v>78</v>
      </c>
    </row>
    <row r="78" spans="1:2" x14ac:dyDescent="0.3">
      <c r="A78" t="s">
        <v>43</v>
      </c>
    </row>
    <row r="79" spans="1:2" x14ac:dyDescent="0.3">
      <c r="A79" t="s">
        <v>130</v>
      </c>
      <c r="B79" s="2"/>
    </row>
    <row r="80" spans="1:2" x14ac:dyDescent="0.3">
      <c r="A80" t="s">
        <v>3</v>
      </c>
    </row>
    <row r="81" spans="1:2" x14ac:dyDescent="0.3">
      <c r="A81" t="s">
        <v>118</v>
      </c>
      <c r="B81" t="s">
        <v>129</v>
      </c>
    </row>
    <row r="82" spans="1:2" x14ac:dyDescent="0.3">
      <c r="A82" t="s">
        <v>121</v>
      </c>
    </row>
    <row r="83" spans="1:2" x14ac:dyDescent="0.3">
      <c r="A83" t="s">
        <v>73</v>
      </c>
      <c r="B83" s="2"/>
    </row>
    <row r="84" spans="1:2" x14ac:dyDescent="0.3">
      <c r="A84" t="s">
        <v>85</v>
      </c>
    </row>
    <row r="85" spans="1:2" x14ac:dyDescent="0.3">
      <c r="A85" t="s">
        <v>0</v>
      </c>
      <c r="B85" s="2"/>
    </row>
    <row r="86" spans="1:2" x14ac:dyDescent="0.3">
      <c r="A86" t="s">
        <v>62</v>
      </c>
    </row>
    <row r="87" spans="1:2" x14ac:dyDescent="0.3">
      <c r="A87" t="s">
        <v>113</v>
      </c>
      <c r="B87" s="2"/>
    </row>
    <row r="88" spans="1:2" x14ac:dyDescent="0.3">
      <c r="A88" t="s">
        <v>115</v>
      </c>
    </row>
    <row r="89" spans="1:2" x14ac:dyDescent="0.3">
      <c r="A89" t="s">
        <v>114</v>
      </c>
      <c r="B89" s="2"/>
    </row>
    <row r="90" spans="1:2" x14ac:dyDescent="0.3">
      <c r="A90" t="s">
        <v>116</v>
      </c>
    </row>
    <row r="91" spans="1:2" x14ac:dyDescent="0.3">
      <c r="A91" t="s">
        <v>123</v>
      </c>
    </row>
    <row r="92" spans="1:2" x14ac:dyDescent="0.3">
      <c r="A92" t="s">
        <v>124</v>
      </c>
    </row>
    <row r="93" spans="1:2" x14ac:dyDescent="0.3">
      <c r="A93" t="s">
        <v>125</v>
      </c>
    </row>
    <row r="94" spans="1:2" x14ac:dyDescent="0.3">
      <c r="A94" t="s">
        <v>122</v>
      </c>
    </row>
    <row r="95" spans="1:2" x14ac:dyDescent="0.3">
      <c r="A95" t="s">
        <v>119</v>
      </c>
    </row>
    <row r="96" spans="1:2" x14ac:dyDescent="0.3">
      <c r="A96" t="s">
        <v>120</v>
      </c>
    </row>
    <row r="97" spans="1:2" x14ac:dyDescent="0.3">
      <c r="A97" t="s">
        <v>128</v>
      </c>
    </row>
    <row r="98" spans="1:2" x14ac:dyDescent="0.3">
      <c r="A98" t="s">
        <v>126</v>
      </c>
    </row>
    <row r="99" spans="1:2" x14ac:dyDescent="0.3">
      <c r="A99" t="s">
        <v>127</v>
      </c>
    </row>
    <row r="100" spans="1:2" x14ac:dyDescent="0.3">
      <c r="A100" t="s">
        <v>131</v>
      </c>
    </row>
    <row r="101" spans="1:2" x14ac:dyDescent="0.3">
      <c r="A101" t="s">
        <v>132</v>
      </c>
      <c r="B101" t="s">
        <v>235</v>
      </c>
    </row>
    <row r="102" spans="1:2" x14ac:dyDescent="0.3">
      <c r="A102" t="s">
        <v>133</v>
      </c>
    </row>
    <row r="103" spans="1:2" x14ac:dyDescent="0.3">
      <c r="A103" t="s">
        <v>134</v>
      </c>
    </row>
    <row r="104" spans="1:2" x14ac:dyDescent="0.3">
      <c r="A104" t="s">
        <v>137</v>
      </c>
    </row>
    <row r="105" spans="1:2" x14ac:dyDescent="0.3">
      <c r="A105" t="s">
        <v>136</v>
      </c>
    </row>
    <row r="106" spans="1:2" x14ac:dyDescent="0.3">
      <c r="A106" t="s">
        <v>135</v>
      </c>
    </row>
    <row r="107" spans="1:2" x14ac:dyDescent="0.3">
      <c r="A107" t="s">
        <v>249</v>
      </c>
    </row>
    <row r="108" spans="1:2" x14ac:dyDescent="0.3">
      <c r="A108" t="s">
        <v>250</v>
      </c>
    </row>
    <row r="109" spans="1:2" x14ac:dyDescent="0.3">
      <c r="A109" t="s">
        <v>248</v>
      </c>
    </row>
    <row r="110" spans="1:2" x14ac:dyDescent="0.3">
      <c r="A110" t="s">
        <v>252</v>
      </c>
    </row>
    <row r="111" spans="1:2" x14ac:dyDescent="0.3">
      <c r="A111" t="s">
        <v>327</v>
      </c>
    </row>
    <row r="112" spans="1:2" x14ac:dyDescent="0.3">
      <c r="A112" t="s">
        <v>326</v>
      </c>
    </row>
  </sheetData>
  <conditionalFormatting sqref="A2:A100 A103:A110 A113:A1048576">
    <cfRule type="duplicateValues" dxfId="3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ED11C-CB5D-4E76-955A-350BB2C075B7}">
  <sheetPr codeName="Sheet4">
    <tabColor rgb="FFFFFF00"/>
  </sheetPr>
  <dimension ref="A1:H160"/>
  <sheetViews>
    <sheetView tabSelected="1" workbookViewId="0">
      <selection activeCell="E10" sqref="E10"/>
    </sheetView>
  </sheetViews>
  <sheetFormatPr defaultRowHeight="14.4" x14ac:dyDescent="0.3"/>
  <cols>
    <col min="1" max="1" width="52.5546875" customWidth="1"/>
    <col min="2" max="2" width="14.33203125" bestFit="1" customWidth="1"/>
    <col min="3" max="3" width="13.33203125" bestFit="1" customWidth="1"/>
    <col min="4" max="4" width="16.33203125" bestFit="1" customWidth="1"/>
    <col min="6" max="6" width="28" bestFit="1" customWidth="1"/>
    <col min="8" max="8" width="48" bestFit="1" customWidth="1"/>
  </cols>
  <sheetData>
    <row r="1" spans="1:8" s="1" customFormat="1" ht="79.8" customHeight="1" x14ac:dyDescent="0.3">
      <c r="A1" s="4" t="s">
        <v>117</v>
      </c>
      <c r="B1" s="4" t="s">
        <v>112</v>
      </c>
      <c r="C1" s="4" t="s">
        <v>107</v>
      </c>
      <c r="D1" s="4" t="s">
        <v>100</v>
      </c>
      <c r="F1" s="1" t="s">
        <v>51</v>
      </c>
      <c r="H1" s="9" t="s">
        <v>328</v>
      </c>
    </row>
    <row r="2" spans="1:8" x14ac:dyDescent="0.3">
      <c r="A2" s="8" t="s">
        <v>610</v>
      </c>
      <c r="B2" s="8">
        <v>0</v>
      </c>
      <c r="C2" s="8">
        <v>2489.71</v>
      </c>
      <c r="D2" s="8">
        <v>-2489.71</v>
      </c>
      <c r="F2" t="b">
        <f>IF(ISERROR(VLOOKUP(A2,Payee!A:A,1,FALSE)),FALSE,TRUE)</f>
        <v>0</v>
      </c>
    </row>
    <row r="3" spans="1:8" x14ac:dyDescent="0.3">
      <c r="A3" s="8" t="s">
        <v>0</v>
      </c>
      <c r="B3" s="8">
        <v>1315.07</v>
      </c>
      <c r="C3" s="8">
        <v>1315.07</v>
      </c>
      <c r="D3" s="8">
        <v>0</v>
      </c>
      <c r="F3" t="b">
        <f>IF(ISERROR(VLOOKUP(A3,Payee!A:A,1,FALSE)),FALSE,TRUE)</f>
        <v>1</v>
      </c>
    </row>
    <row r="4" spans="1:8" x14ac:dyDescent="0.3">
      <c r="A4" s="8" t="s">
        <v>613</v>
      </c>
      <c r="B4" s="8">
        <v>5044.93</v>
      </c>
      <c r="C4" s="8">
        <v>5044.93</v>
      </c>
      <c r="D4" s="8">
        <v>0</v>
      </c>
      <c r="F4" t="b">
        <f>IF(ISERROR(VLOOKUP(A4,Payee!A:A,1,FALSE)),FALSE,TRUE)</f>
        <v>0</v>
      </c>
    </row>
    <row r="5" spans="1:8" x14ac:dyDescent="0.3">
      <c r="A5" s="8" t="s">
        <v>2</v>
      </c>
      <c r="B5" s="8">
        <v>9020.5499999999993</v>
      </c>
      <c r="C5" s="8">
        <v>27306.53</v>
      </c>
      <c r="D5" s="8">
        <v>-18285.98</v>
      </c>
      <c r="F5" t="b">
        <f>IF(ISERROR(VLOOKUP(A5,Payee!A:A,1,FALSE)),FALSE,TRUE)</f>
        <v>1</v>
      </c>
    </row>
    <row r="6" spans="1:8" x14ac:dyDescent="0.3">
      <c r="A6" s="8" t="s">
        <v>54</v>
      </c>
      <c r="B6" s="8">
        <v>1466.29</v>
      </c>
      <c r="C6" s="8">
        <v>1466.29</v>
      </c>
      <c r="D6" s="8">
        <v>0</v>
      </c>
      <c r="F6" t="b">
        <f>IF(ISERROR(VLOOKUP(A6,Payee!A:A,1,FALSE)),FALSE,TRUE)</f>
        <v>1</v>
      </c>
    </row>
    <row r="7" spans="1:8" x14ac:dyDescent="0.3">
      <c r="A7" s="10" t="s">
        <v>55</v>
      </c>
      <c r="B7" s="8">
        <v>986.3</v>
      </c>
      <c r="C7" s="8">
        <v>986.3</v>
      </c>
      <c r="D7" s="8">
        <v>0</v>
      </c>
      <c r="F7" t="b">
        <f>IF(ISERROR(VLOOKUP(A7,Payee!A:A,1,FALSE)),FALSE,TRUE)</f>
        <v>1</v>
      </c>
    </row>
    <row r="8" spans="1:8" x14ac:dyDescent="0.3">
      <c r="A8" s="8" t="s">
        <v>3</v>
      </c>
      <c r="B8" s="8">
        <v>33863.01</v>
      </c>
      <c r="C8" s="8">
        <v>33863.01</v>
      </c>
      <c r="D8" s="8">
        <v>0</v>
      </c>
      <c r="F8" t="b">
        <f>IF(ISERROR(VLOOKUP(A8,Payee!A:A,1,FALSE)),FALSE,TRUE)</f>
        <v>1</v>
      </c>
    </row>
    <row r="9" spans="1:8" x14ac:dyDescent="0.3">
      <c r="A9" s="8" t="s">
        <v>614</v>
      </c>
      <c r="B9" s="8">
        <v>6497.26</v>
      </c>
      <c r="C9" s="8">
        <v>6497.26</v>
      </c>
      <c r="D9" s="8">
        <v>0</v>
      </c>
      <c r="F9" t="b">
        <f>IF(ISERROR(VLOOKUP(A9,Payee!A:A,1,FALSE)),FALSE,TRUE)</f>
        <v>0</v>
      </c>
    </row>
    <row r="10" spans="1:8" x14ac:dyDescent="0.3">
      <c r="A10" s="10" t="s">
        <v>57</v>
      </c>
      <c r="B10" s="8">
        <v>1972.6</v>
      </c>
      <c r="C10" s="8">
        <v>1972.6</v>
      </c>
      <c r="D10" s="8">
        <v>0</v>
      </c>
      <c r="F10" t="b">
        <f>IF(ISERROR(VLOOKUP(A10,Payee!A:A,1,FALSE)),FALSE,TRUE)</f>
        <v>1</v>
      </c>
    </row>
    <row r="11" spans="1:8" ht="27" x14ac:dyDescent="0.3">
      <c r="A11" s="10" t="s">
        <v>615</v>
      </c>
      <c r="B11" s="8">
        <v>1258.57</v>
      </c>
      <c r="C11" s="8">
        <v>1258.57</v>
      </c>
      <c r="D11" s="8">
        <v>0</v>
      </c>
      <c r="F11" t="b">
        <f>IF(ISERROR(VLOOKUP(A11,Payee!A:A,1,FALSE)),FALSE,TRUE)</f>
        <v>0</v>
      </c>
    </row>
    <row r="12" spans="1:8" x14ac:dyDescent="0.3">
      <c r="A12" s="10" t="s">
        <v>60</v>
      </c>
      <c r="B12" s="8">
        <v>677.26</v>
      </c>
      <c r="C12" s="8">
        <v>677.26</v>
      </c>
      <c r="D12" s="8">
        <v>0</v>
      </c>
      <c r="F12" t="b">
        <f>IF(ISERROR(VLOOKUP(A12,Payee!A:A,1,FALSE)),FALSE,TRUE)</f>
        <v>1</v>
      </c>
    </row>
    <row r="13" spans="1:8" x14ac:dyDescent="0.3">
      <c r="A13" s="10" t="s">
        <v>616</v>
      </c>
      <c r="B13" s="8">
        <v>0</v>
      </c>
      <c r="C13" s="8">
        <v>809.08</v>
      </c>
      <c r="D13" s="8">
        <v>-809.08</v>
      </c>
      <c r="F13" t="b">
        <f>IF(ISERROR(VLOOKUP(A13,Payee!A:A,1,FALSE)),FALSE,TRUE)</f>
        <v>0</v>
      </c>
    </row>
    <row r="14" spans="1:8" x14ac:dyDescent="0.3">
      <c r="A14" s="8" t="s">
        <v>61</v>
      </c>
      <c r="B14" s="8">
        <v>1315.07</v>
      </c>
      <c r="C14" s="8">
        <v>1315.07</v>
      </c>
      <c r="D14" s="8">
        <v>0</v>
      </c>
      <c r="F14" t="b">
        <f>IF(ISERROR(VLOOKUP(A14,Payee!A:A,1,FALSE)),FALSE,TRUE)</f>
        <v>1</v>
      </c>
    </row>
    <row r="15" spans="1:8" x14ac:dyDescent="0.3">
      <c r="A15" s="8" t="s">
        <v>617</v>
      </c>
      <c r="B15" s="8">
        <v>1146.58</v>
      </c>
      <c r="C15" s="8">
        <v>1146.58</v>
      </c>
      <c r="D15" s="8">
        <v>0</v>
      </c>
      <c r="F15" t="b">
        <f>IF(ISERROR(VLOOKUP(A15,Payee!A:A,1,FALSE)),FALSE,TRUE)</f>
        <v>0</v>
      </c>
    </row>
    <row r="16" spans="1:8" x14ac:dyDescent="0.3">
      <c r="A16" s="10" t="s">
        <v>11</v>
      </c>
      <c r="B16" s="8">
        <v>2732.89</v>
      </c>
      <c r="C16" s="8">
        <v>2732.89</v>
      </c>
      <c r="D16" s="8">
        <v>0</v>
      </c>
      <c r="F16" t="b">
        <f>IF(ISERROR(VLOOKUP(A16,Payee!A:A,1,FALSE)),FALSE,TRUE)</f>
        <v>1</v>
      </c>
    </row>
    <row r="17" spans="1:6" x14ac:dyDescent="0.3">
      <c r="A17" s="10" t="s">
        <v>66</v>
      </c>
      <c r="B17" s="8">
        <v>3821.92</v>
      </c>
      <c r="C17" s="8">
        <v>3821.92</v>
      </c>
      <c r="D17" s="8">
        <v>0</v>
      </c>
      <c r="F17" t="b">
        <f>IF(ISERROR(VLOOKUP(A17,Payee!A:A,1,FALSE)),FALSE,TRUE)</f>
        <v>1</v>
      </c>
    </row>
    <row r="18" spans="1:6" x14ac:dyDescent="0.3">
      <c r="A18" s="10" t="s">
        <v>68</v>
      </c>
      <c r="B18" s="8">
        <v>6688.36</v>
      </c>
      <c r="C18" s="8">
        <v>6688.36</v>
      </c>
      <c r="D18" s="8">
        <v>0</v>
      </c>
      <c r="F18" t="b">
        <f>IF(ISERROR(VLOOKUP(A18,Payee!A:A,1,FALSE)),FALSE,TRUE)</f>
        <v>1</v>
      </c>
    </row>
    <row r="19" spans="1:6" x14ac:dyDescent="0.3">
      <c r="A19" s="8" t="s">
        <v>14</v>
      </c>
      <c r="B19" s="8">
        <v>1528.76</v>
      </c>
      <c r="C19" s="8">
        <v>1528.76</v>
      </c>
      <c r="D19" s="8">
        <v>0</v>
      </c>
      <c r="F19" t="b">
        <f>IF(ISERROR(VLOOKUP(A19,Payee!A:A,1,FALSE)),FALSE,TRUE)</f>
        <v>1</v>
      </c>
    </row>
    <row r="20" spans="1:6" x14ac:dyDescent="0.3">
      <c r="A20" s="10" t="s">
        <v>15</v>
      </c>
      <c r="B20" s="8">
        <v>8178.9</v>
      </c>
      <c r="C20" s="8">
        <v>8178.9</v>
      </c>
      <c r="D20" s="8">
        <v>0</v>
      </c>
      <c r="F20" t="b">
        <f>IF(ISERROR(VLOOKUP(A20,Payee!A:A,1,FALSE)),FALSE,TRUE)</f>
        <v>1</v>
      </c>
    </row>
    <row r="21" spans="1:6" x14ac:dyDescent="0.3">
      <c r="A21" s="8" t="s">
        <v>618</v>
      </c>
      <c r="B21" s="8">
        <v>3883.56</v>
      </c>
      <c r="C21" s="8">
        <v>3883.56</v>
      </c>
      <c r="D21" s="8">
        <v>0</v>
      </c>
      <c r="F21" t="b">
        <f>IF(ISERROR(VLOOKUP(A21,Payee!A:A,1,FALSE)),FALSE,TRUE)</f>
        <v>0</v>
      </c>
    </row>
    <row r="22" spans="1:6" x14ac:dyDescent="0.3">
      <c r="A22" s="8" t="s">
        <v>70</v>
      </c>
      <c r="B22" s="8">
        <v>1324.93</v>
      </c>
      <c r="C22" s="8">
        <v>1324.93</v>
      </c>
      <c r="D22" s="8">
        <v>0</v>
      </c>
      <c r="F22" t="b">
        <f>IF(ISERROR(VLOOKUP(A22,Payee!A:A,1,FALSE)),FALSE,TRUE)</f>
        <v>1</v>
      </c>
    </row>
    <row r="23" spans="1:6" x14ac:dyDescent="0.3">
      <c r="A23" s="8" t="s">
        <v>619</v>
      </c>
      <c r="B23" s="8">
        <v>2522.0500000000002</v>
      </c>
      <c r="C23" s="8">
        <v>2522.0500000000002</v>
      </c>
      <c r="D23" s="8">
        <v>0</v>
      </c>
      <c r="F23" t="b">
        <f>IF(ISERROR(VLOOKUP(A23,Payee!A:A,1,FALSE)),FALSE,TRUE)</f>
        <v>0</v>
      </c>
    </row>
    <row r="24" spans="1:6" x14ac:dyDescent="0.3">
      <c r="A24" s="8" t="s">
        <v>17</v>
      </c>
      <c r="B24" s="8">
        <v>3945.21</v>
      </c>
      <c r="C24" s="8">
        <v>3945.21</v>
      </c>
      <c r="D24" s="8">
        <v>0</v>
      </c>
      <c r="F24" t="b">
        <f>IF(ISERROR(VLOOKUP(A24,Payee!A:A,1,FALSE)),FALSE,TRUE)</f>
        <v>1</v>
      </c>
    </row>
    <row r="25" spans="1:6" x14ac:dyDescent="0.3">
      <c r="A25" s="8" t="s">
        <v>72</v>
      </c>
      <c r="B25" s="8">
        <v>9824.64</v>
      </c>
      <c r="C25" s="8">
        <v>9824.64</v>
      </c>
      <c r="D25" s="8">
        <v>0</v>
      </c>
      <c r="F25" t="b">
        <f>IF(ISERROR(VLOOKUP(A25,Payee!A:A,1,FALSE)),FALSE,TRUE)</f>
        <v>1</v>
      </c>
    </row>
    <row r="26" spans="1:6" x14ac:dyDescent="0.3">
      <c r="A26" s="8" t="s">
        <v>73</v>
      </c>
      <c r="B26" s="8">
        <v>4158.8999999999996</v>
      </c>
      <c r="C26" s="8">
        <v>4158.8999999999996</v>
      </c>
      <c r="D26" s="8">
        <v>0</v>
      </c>
      <c r="F26" t="b">
        <f>IF(ISERROR(VLOOKUP(A26,Payee!A:A,1,FALSE)),FALSE,TRUE)</f>
        <v>1</v>
      </c>
    </row>
    <row r="27" spans="1:6" x14ac:dyDescent="0.3">
      <c r="A27" s="10" t="s">
        <v>20</v>
      </c>
      <c r="B27" s="8">
        <v>1512.33</v>
      </c>
      <c r="C27" s="8">
        <v>1512.33</v>
      </c>
      <c r="D27" s="8">
        <v>0</v>
      </c>
      <c r="F27" t="b">
        <f>IF(ISERROR(VLOOKUP(A27,Payee!A:A,1,FALSE)),FALSE,TRUE)</f>
        <v>1</v>
      </c>
    </row>
    <row r="28" spans="1:6" x14ac:dyDescent="0.3">
      <c r="A28" s="8" t="s">
        <v>74</v>
      </c>
      <c r="B28" s="8">
        <v>17260.27</v>
      </c>
      <c r="C28" s="8">
        <v>17260.27</v>
      </c>
      <c r="D28" s="8">
        <v>0</v>
      </c>
      <c r="F28" t="b">
        <f>IF(ISERROR(VLOOKUP(A28,Payee!A:A,1,FALSE)),FALSE,TRUE)</f>
        <v>1</v>
      </c>
    </row>
    <row r="29" spans="1:6" x14ac:dyDescent="0.3">
      <c r="A29" s="10" t="s">
        <v>75</v>
      </c>
      <c r="B29" s="8">
        <v>1146.58</v>
      </c>
      <c r="C29" s="8">
        <v>1146.58</v>
      </c>
      <c r="D29" s="8">
        <v>0</v>
      </c>
      <c r="F29" t="b">
        <f>IF(ISERROR(VLOOKUP(A29,Payee!A:A,1,FALSE)),FALSE,TRUE)</f>
        <v>1</v>
      </c>
    </row>
    <row r="30" spans="1:6" x14ac:dyDescent="0.3">
      <c r="A30" s="8" t="s">
        <v>21</v>
      </c>
      <c r="B30" s="8">
        <v>657.53</v>
      </c>
      <c r="C30" s="8">
        <v>657.53</v>
      </c>
      <c r="D30" s="8">
        <v>0</v>
      </c>
      <c r="F30" t="b">
        <f>IF(ISERROR(VLOOKUP(A30,Payee!A:A,1,FALSE)),FALSE,TRUE)</f>
        <v>1</v>
      </c>
    </row>
    <row r="31" spans="1:6" x14ac:dyDescent="0.3">
      <c r="A31" s="8" t="s">
        <v>620</v>
      </c>
      <c r="B31" s="8">
        <v>0</v>
      </c>
      <c r="C31" s="8">
        <v>7944.3</v>
      </c>
      <c r="D31" s="8">
        <v>-7944.3</v>
      </c>
      <c r="F31" t="b">
        <f>IF(ISERROR(VLOOKUP(A31,Payee!A:A,1,FALSE)),FALSE,TRUE)</f>
        <v>0</v>
      </c>
    </row>
    <row r="32" spans="1:6" x14ac:dyDescent="0.3">
      <c r="A32" s="8" t="s">
        <v>24</v>
      </c>
      <c r="B32" s="8">
        <v>7261.64</v>
      </c>
      <c r="C32" s="8">
        <v>7261.64</v>
      </c>
      <c r="D32" s="8">
        <v>0</v>
      </c>
      <c r="F32" t="b">
        <f>IF(ISERROR(VLOOKUP(A32,Payee!A:A,1,FALSE)),FALSE,TRUE)</f>
        <v>1</v>
      </c>
    </row>
    <row r="33" spans="1:6" x14ac:dyDescent="0.3">
      <c r="A33" s="8" t="s">
        <v>621</v>
      </c>
      <c r="B33" s="8">
        <v>5358.9</v>
      </c>
      <c r="C33" s="8">
        <v>5358.9</v>
      </c>
      <c r="D33" s="8">
        <v>0</v>
      </c>
      <c r="F33" t="b">
        <f>IF(ISERROR(VLOOKUP(A33,Payee!A:A,1,FALSE)),FALSE,TRUE)</f>
        <v>0</v>
      </c>
    </row>
    <row r="34" spans="1:6" x14ac:dyDescent="0.3">
      <c r="A34" s="8" t="s">
        <v>27</v>
      </c>
      <c r="B34" s="8">
        <v>616.82000000000005</v>
      </c>
      <c r="C34" s="8">
        <v>616.82000000000005</v>
      </c>
      <c r="D34" s="8">
        <v>0</v>
      </c>
      <c r="F34" t="b">
        <f>IF(ISERROR(VLOOKUP(A34,Payee!A:A,1,FALSE)),FALSE,TRUE)</f>
        <v>1</v>
      </c>
    </row>
    <row r="35" spans="1:6" x14ac:dyDescent="0.3">
      <c r="A35" s="10" t="s">
        <v>78</v>
      </c>
      <c r="B35" s="8">
        <v>13376.71</v>
      </c>
      <c r="C35" s="8">
        <v>13376.71</v>
      </c>
      <c r="D35" s="8">
        <v>0</v>
      </c>
      <c r="F35" t="b">
        <f>IF(ISERROR(VLOOKUP(A35,Payee!A:A,1,FALSE)),FALSE,TRUE)</f>
        <v>1</v>
      </c>
    </row>
    <row r="36" spans="1:6" x14ac:dyDescent="0.3">
      <c r="A36" s="10" t="s">
        <v>29</v>
      </c>
      <c r="B36" s="8">
        <v>7643.84</v>
      </c>
      <c r="C36" s="8">
        <v>7643.84</v>
      </c>
      <c r="D36" s="8">
        <v>0</v>
      </c>
      <c r="F36" t="b">
        <f>IF(ISERROR(VLOOKUP(A36,Payee!A:A,1,FALSE)),FALSE,TRUE)</f>
        <v>1</v>
      </c>
    </row>
    <row r="37" spans="1:6" x14ac:dyDescent="0.3">
      <c r="A37" s="8" t="s">
        <v>105</v>
      </c>
      <c r="B37" s="8">
        <v>4931.5</v>
      </c>
      <c r="C37" s="8">
        <v>4931.5</v>
      </c>
      <c r="D37" s="8">
        <v>0</v>
      </c>
      <c r="F37" t="b">
        <f>IF(ISERROR(VLOOKUP(A37,Payee!A:A,1,FALSE)),FALSE,TRUE)</f>
        <v>1</v>
      </c>
    </row>
    <row r="38" spans="1:6" x14ac:dyDescent="0.3">
      <c r="A38" s="10" t="s">
        <v>30</v>
      </c>
      <c r="B38" s="8">
        <v>3287.67</v>
      </c>
      <c r="C38" s="8">
        <v>3287.67</v>
      </c>
      <c r="D38" s="8">
        <v>0</v>
      </c>
      <c r="F38" t="b">
        <f>IF(ISERROR(VLOOKUP(A38,Payee!A:A,1,FALSE)),FALSE,TRUE)</f>
        <v>1</v>
      </c>
    </row>
    <row r="39" spans="1:6" x14ac:dyDescent="0.3">
      <c r="A39" s="10" t="s">
        <v>622</v>
      </c>
      <c r="B39" s="8">
        <v>0</v>
      </c>
      <c r="C39" s="8">
        <v>181.6</v>
      </c>
      <c r="D39" s="8">
        <v>-181.6</v>
      </c>
      <c r="F39" t="b">
        <f>IF(ISERROR(VLOOKUP(A39,Payee!A:A,1,FALSE)),FALSE,TRUE)</f>
        <v>0</v>
      </c>
    </row>
    <row r="40" spans="1:6" x14ac:dyDescent="0.3">
      <c r="A40" s="8" t="s">
        <v>31</v>
      </c>
      <c r="B40" s="8">
        <v>36402.74</v>
      </c>
      <c r="C40" s="8">
        <v>36402.74</v>
      </c>
      <c r="D40" s="8">
        <v>0</v>
      </c>
      <c r="F40" t="b">
        <f>IF(ISERROR(VLOOKUP(A40,Payee!A:A,1,FALSE)),FALSE,TRUE)</f>
        <v>1</v>
      </c>
    </row>
    <row r="41" spans="1:6" x14ac:dyDescent="0.3">
      <c r="A41" s="10" t="s">
        <v>79</v>
      </c>
      <c r="B41" s="8">
        <v>5079.45</v>
      </c>
      <c r="C41" s="8">
        <v>5079.45</v>
      </c>
      <c r="D41" s="8">
        <v>0</v>
      </c>
      <c r="F41" t="b">
        <f>IF(ISERROR(VLOOKUP(A41,Payee!A:A,1,FALSE)),FALSE,TRUE)</f>
        <v>1</v>
      </c>
    </row>
    <row r="42" spans="1:6" x14ac:dyDescent="0.3">
      <c r="A42" s="8" t="s">
        <v>34</v>
      </c>
      <c r="B42" s="8">
        <v>1972.6</v>
      </c>
      <c r="C42" s="8">
        <v>5223.4399999999996</v>
      </c>
      <c r="D42" s="8">
        <v>-3250.84</v>
      </c>
      <c r="F42" t="b">
        <f>IF(ISERROR(VLOOKUP(A42,Payee!A:A,1,FALSE)),FALSE,TRUE)</f>
        <v>1</v>
      </c>
    </row>
    <row r="43" spans="1:6" x14ac:dyDescent="0.3">
      <c r="A43" s="10" t="s">
        <v>81</v>
      </c>
      <c r="B43" s="8">
        <v>3821.92</v>
      </c>
      <c r="C43" s="8">
        <v>3821.92</v>
      </c>
      <c r="D43" s="8">
        <v>0</v>
      </c>
      <c r="F43" t="b">
        <f>IF(ISERROR(VLOOKUP(A43,Payee!A:A,1,FALSE)),FALSE,TRUE)</f>
        <v>1</v>
      </c>
    </row>
    <row r="44" spans="1:6" x14ac:dyDescent="0.3">
      <c r="A44" s="8" t="s">
        <v>35</v>
      </c>
      <c r="B44" s="8">
        <v>5810.96</v>
      </c>
      <c r="C44" s="8">
        <v>5810.96</v>
      </c>
      <c r="D44" s="8">
        <v>0</v>
      </c>
      <c r="F44" t="b">
        <f>IF(ISERROR(VLOOKUP(A44,Payee!A:A,1,FALSE)),FALSE,TRUE)</f>
        <v>1</v>
      </c>
    </row>
    <row r="45" spans="1:6" ht="27" x14ac:dyDescent="0.3">
      <c r="A45" s="10" t="s">
        <v>82</v>
      </c>
      <c r="B45" s="8">
        <v>6115.07</v>
      </c>
      <c r="C45" s="8">
        <v>6115.07</v>
      </c>
      <c r="D45" s="8">
        <v>0</v>
      </c>
      <c r="F45" t="b">
        <f>IF(ISERROR(VLOOKUP(A45,Payee!A:A,1,FALSE)),FALSE,TRUE)</f>
        <v>1</v>
      </c>
    </row>
    <row r="46" spans="1:6" x14ac:dyDescent="0.3">
      <c r="A46" s="8" t="s">
        <v>83</v>
      </c>
      <c r="B46" s="8">
        <v>4438.3500000000004</v>
      </c>
      <c r="C46" s="8">
        <v>4438.3500000000004</v>
      </c>
      <c r="D46" s="8">
        <v>0</v>
      </c>
      <c r="F46" t="b">
        <f>IF(ISERROR(VLOOKUP(A46,Payee!A:A,1,FALSE)),FALSE,TRUE)</f>
        <v>1</v>
      </c>
    </row>
    <row r="47" spans="1:6" x14ac:dyDescent="0.3">
      <c r="A47" s="10" t="s">
        <v>84</v>
      </c>
      <c r="B47" s="8">
        <v>1380.82</v>
      </c>
      <c r="C47" s="8">
        <v>1380.82</v>
      </c>
      <c r="D47" s="8">
        <v>0</v>
      </c>
      <c r="F47" t="b">
        <f>IF(ISERROR(VLOOKUP(A47,Payee!A:A,1,FALSE)),FALSE,TRUE)</f>
        <v>1</v>
      </c>
    </row>
    <row r="48" spans="1:6" x14ac:dyDescent="0.3">
      <c r="A48" s="10" t="s">
        <v>38</v>
      </c>
      <c r="B48" s="8">
        <v>1315.07</v>
      </c>
      <c r="C48" s="8">
        <v>1315.07</v>
      </c>
      <c r="D48" s="8">
        <v>0</v>
      </c>
      <c r="F48" t="b">
        <f>IF(ISERROR(VLOOKUP(A48,Payee!A:A,1,FALSE)),FALSE,TRUE)</f>
        <v>1</v>
      </c>
    </row>
    <row r="49" spans="1:6" x14ac:dyDescent="0.3">
      <c r="A49" s="10" t="s">
        <v>37</v>
      </c>
      <c r="B49" s="8">
        <v>15287.68</v>
      </c>
      <c r="C49" s="8">
        <v>15287.68</v>
      </c>
      <c r="D49" s="8">
        <v>0</v>
      </c>
      <c r="F49" t="b">
        <f>IF(ISERROR(VLOOKUP(A49,Payee!A:A,1,FALSE)),FALSE,TRUE)</f>
        <v>1</v>
      </c>
    </row>
    <row r="50" spans="1:6" x14ac:dyDescent="0.3">
      <c r="A50" s="8" t="s">
        <v>85</v>
      </c>
      <c r="B50" s="8">
        <v>1299.45</v>
      </c>
      <c r="C50" s="8">
        <v>1299.45</v>
      </c>
      <c r="D50" s="8">
        <v>0</v>
      </c>
      <c r="F50" t="b">
        <f>IF(ISERROR(VLOOKUP(A50,Payee!A:A,1,FALSE)),FALSE,TRUE)</f>
        <v>1</v>
      </c>
    </row>
    <row r="51" spans="1:6" x14ac:dyDescent="0.3">
      <c r="A51" s="10" t="s">
        <v>40</v>
      </c>
      <c r="B51" s="8">
        <v>1232.8800000000001</v>
      </c>
      <c r="C51" s="8">
        <v>1232.8800000000001</v>
      </c>
      <c r="D51" s="8">
        <v>0</v>
      </c>
      <c r="F51" t="b">
        <f>IF(ISERROR(VLOOKUP(A51,Payee!A:A,1,FALSE)),FALSE,TRUE)</f>
        <v>1</v>
      </c>
    </row>
    <row r="52" spans="1:6" x14ac:dyDescent="0.3">
      <c r="A52" s="10" t="s">
        <v>41</v>
      </c>
      <c r="B52" s="8">
        <v>4109.59</v>
      </c>
      <c r="C52" s="8">
        <v>4109.59</v>
      </c>
      <c r="D52" s="8">
        <v>0</v>
      </c>
      <c r="F52" t="b">
        <f>IF(ISERROR(VLOOKUP(A52,Payee!A:A,1,FALSE)),FALSE,TRUE)</f>
        <v>1</v>
      </c>
    </row>
    <row r="53" spans="1:6" x14ac:dyDescent="0.3">
      <c r="A53" s="10" t="s">
        <v>42</v>
      </c>
      <c r="B53" s="8">
        <v>0</v>
      </c>
      <c r="C53" s="8">
        <v>4533.01</v>
      </c>
      <c r="D53" s="8">
        <v>-4533.01</v>
      </c>
      <c r="F53" t="b">
        <f>IF(ISERROR(VLOOKUP(A53,Payee!A:A,1,FALSE)),FALSE,TRUE)</f>
        <v>1</v>
      </c>
    </row>
    <row r="54" spans="1:6" x14ac:dyDescent="0.3">
      <c r="A54" s="10" t="s">
        <v>43</v>
      </c>
      <c r="B54" s="8">
        <v>5732.87</v>
      </c>
      <c r="C54" s="8">
        <v>5732.87</v>
      </c>
      <c r="D54" s="8">
        <v>0</v>
      </c>
      <c r="F54" t="b">
        <f>IF(ISERROR(VLOOKUP(A54,Payee!A:A,1,FALSE)),FALSE,TRUE)</f>
        <v>1</v>
      </c>
    </row>
    <row r="55" spans="1:6" ht="27" x14ac:dyDescent="0.3">
      <c r="A55" s="10" t="s">
        <v>86</v>
      </c>
      <c r="B55" s="8">
        <v>3057.53</v>
      </c>
      <c r="C55" s="8">
        <v>3057.53</v>
      </c>
      <c r="D55" s="8">
        <v>0</v>
      </c>
      <c r="F55" t="b">
        <f>IF(ISERROR(VLOOKUP(A55,Payee!A:A,1,FALSE)),FALSE,TRUE)</f>
        <v>1</v>
      </c>
    </row>
    <row r="56" spans="1:6" x14ac:dyDescent="0.3">
      <c r="A56" s="10" t="s">
        <v>87</v>
      </c>
      <c r="B56" s="8">
        <v>764.38</v>
      </c>
      <c r="C56" s="8">
        <v>764.38</v>
      </c>
      <c r="D56" s="8">
        <v>0</v>
      </c>
      <c r="F56" t="b">
        <f>IF(ISERROR(VLOOKUP(A56,Payee!A:A,1,FALSE)),FALSE,TRUE)</f>
        <v>1</v>
      </c>
    </row>
    <row r="57" spans="1:6" x14ac:dyDescent="0.3">
      <c r="A57" s="10" t="s">
        <v>88</v>
      </c>
      <c r="B57" s="8">
        <v>764.38</v>
      </c>
      <c r="C57" s="8">
        <v>764.38</v>
      </c>
      <c r="D57" s="8">
        <v>0</v>
      </c>
      <c r="F57" t="b">
        <f>IF(ISERROR(VLOOKUP(A57,Payee!A:A,1,FALSE)),FALSE,TRUE)</f>
        <v>1</v>
      </c>
    </row>
    <row r="58" spans="1:6" x14ac:dyDescent="0.3">
      <c r="A58" s="10" t="s">
        <v>89</v>
      </c>
      <c r="B58" s="8">
        <v>7561.64</v>
      </c>
      <c r="C58" s="8">
        <v>7561.64</v>
      </c>
      <c r="D58" s="8">
        <v>0</v>
      </c>
      <c r="F58" t="b">
        <f>IF(ISERROR(VLOOKUP(A58,Payee!A:A,1,FALSE)),FALSE,TRUE)</f>
        <v>1</v>
      </c>
    </row>
    <row r="59" spans="1:6" x14ac:dyDescent="0.3">
      <c r="A59" s="8" t="s">
        <v>91</v>
      </c>
      <c r="B59" s="8">
        <v>789.04</v>
      </c>
      <c r="C59" s="8">
        <v>789.04</v>
      </c>
      <c r="D59" s="8">
        <v>0</v>
      </c>
      <c r="F59" t="b">
        <f>IF(ISERROR(VLOOKUP(A59,Payee!A:A,1,FALSE)),FALSE,TRUE)</f>
        <v>1</v>
      </c>
    </row>
    <row r="60" spans="1:6" ht="27" x14ac:dyDescent="0.3">
      <c r="A60" s="10" t="s">
        <v>92</v>
      </c>
      <c r="B60" s="8">
        <v>1643.84</v>
      </c>
      <c r="C60" s="8">
        <v>1643.84</v>
      </c>
      <c r="D60" s="8">
        <v>0</v>
      </c>
      <c r="F60" t="b">
        <f>IF(ISERROR(VLOOKUP(A60,Payee!A:A,1,FALSE)),FALSE,TRUE)</f>
        <v>1</v>
      </c>
    </row>
    <row r="61" spans="1:6" x14ac:dyDescent="0.3">
      <c r="A61" s="8" t="s">
        <v>611</v>
      </c>
      <c r="B61" s="8">
        <v>0</v>
      </c>
      <c r="C61" s="8">
        <v>4506.5600000000004</v>
      </c>
      <c r="D61" s="8">
        <v>-4506.5600000000004</v>
      </c>
      <c r="F61" t="b">
        <f>IF(ISERROR(VLOOKUP(A61,Payee!A:A,1,FALSE)),FALSE,TRUE)</f>
        <v>0</v>
      </c>
    </row>
    <row r="62" spans="1:6" x14ac:dyDescent="0.3">
      <c r="A62" s="8" t="s">
        <v>612</v>
      </c>
      <c r="B62" s="8">
        <v>0</v>
      </c>
      <c r="C62" s="8">
        <v>2103.12</v>
      </c>
      <c r="D62" s="8">
        <v>-2103.12</v>
      </c>
      <c r="F62" t="b">
        <f>IF(ISERROR(VLOOKUP(A62,Payee!A:A,1,FALSE)),FALSE,TRUE)</f>
        <v>0</v>
      </c>
    </row>
    <row r="63" spans="1:6" x14ac:dyDescent="0.3">
      <c r="A63" s="8" t="s">
        <v>623</v>
      </c>
      <c r="B63" s="8">
        <v>1873.98</v>
      </c>
      <c r="C63" s="8">
        <v>1873.98</v>
      </c>
      <c r="D63" s="8">
        <v>0</v>
      </c>
      <c r="F63" t="b">
        <f>IF(ISERROR(VLOOKUP(A63,Payee!A:A,1,FALSE)),FALSE,TRUE)</f>
        <v>0</v>
      </c>
    </row>
    <row r="64" spans="1:6" x14ac:dyDescent="0.3">
      <c r="A64" s="8" t="s">
        <v>624</v>
      </c>
      <c r="B64" s="8">
        <v>0</v>
      </c>
      <c r="C64" s="8">
        <v>869.39</v>
      </c>
      <c r="D64" s="8">
        <v>-869.39</v>
      </c>
      <c r="F64" t="b">
        <f>IF(ISERROR(VLOOKUP(A64,Payee!A:A,1,FALSE)),FALSE,TRUE)</f>
        <v>0</v>
      </c>
    </row>
    <row r="65" spans="1:6" x14ac:dyDescent="0.3">
      <c r="A65" s="10" t="s">
        <v>97</v>
      </c>
      <c r="B65" s="8">
        <v>1528.77</v>
      </c>
      <c r="C65" s="8">
        <v>1528.77</v>
      </c>
      <c r="D65" s="8">
        <v>0</v>
      </c>
      <c r="F65" t="b">
        <f>IF(ISERROR(VLOOKUP(A65,Payee!A:A,1,FALSE)),FALSE,TRUE)</f>
        <v>1</v>
      </c>
    </row>
    <row r="66" spans="1:6" x14ac:dyDescent="0.3">
      <c r="A66" s="10" t="s">
        <v>98</v>
      </c>
      <c r="B66" s="8">
        <v>2876.71</v>
      </c>
      <c r="C66" s="8">
        <v>2876.71</v>
      </c>
      <c r="D66" s="8">
        <v>0</v>
      </c>
      <c r="F66" t="b">
        <f>IF(ISERROR(VLOOKUP(A66,Payee!A:A,1,FALSE)),FALSE,TRUE)</f>
        <v>1</v>
      </c>
    </row>
    <row r="67" spans="1:6" ht="27" x14ac:dyDescent="0.3">
      <c r="A67" s="10" t="s">
        <v>625</v>
      </c>
      <c r="B67" s="8">
        <v>1146.58</v>
      </c>
      <c r="C67" s="8">
        <v>1146.58</v>
      </c>
      <c r="D67" s="8">
        <v>0</v>
      </c>
      <c r="F67" t="b">
        <f>IF(ISERROR(VLOOKUP(A67,Payee!A:A,1,FALSE)),FALSE,TRUE)</f>
        <v>0</v>
      </c>
    </row>
    <row r="68" spans="1:6" x14ac:dyDescent="0.3">
      <c r="A68" s="8" t="s">
        <v>626</v>
      </c>
      <c r="B68" s="8">
        <v>0</v>
      </c>
      <c r="C68" s="8">
        <v>4267.26</v>
      </c>
      <c r="D68" s="8">
        <v>-4267.26</v>
      </c>
      <c r="F68" t="b">
        <f>IF(ISERROR(VLOOKUP(A68,Payee!A:A,1,FALSE)),FALSE,TRUE)</f>
        <v>0</v>
      </c>
    </row>
    <row r="69" spans="1:6" x14ac:dyDescent="0.3">
      <c r="A69" s="8" t="s">
        <v>627</v>
      </c>
      <c r="B69" s="8">
        <v>4895.76</v>
      </c>
      <c r="C69" s="8">
        <v>4895.76</v>
      </c>
      <c r="D69" s="8">
        <v>0</v>
      </c>
      <c r="F69" t="b">
        <f>IF(ISERROR(VLOOKUP(A69,Payee!A:A,1,FALSE)),FALSE,TRUE)</f>
        <v>0</v>
      </c>
    </row>
    <row r="70" spans="1:6" x14ac:dyDescent="0.3">
      <c r="A70" s="10" t="s">
        <v>628</v>
      </c>
      <c r="B70" s="8">
        <v>0</v>
      </c>
      <c r="C70" s="8">
        <v>2255.4299999999998</v>
      </c>
      <c r="D70" s="8">
        <v>-2255.4299999999998</v>
      </c>
      <c r="F70" t="b">
        <f>IF(ISERROR(VLOOKUP(A70,Payee!A:A,1,FALSE)),FALSE,TRUE)</f>
        <v>0</v>
      </c>
    </row>
    <row r="71" spans="1:6" x14ac:dyDescent="0.3">
      <c r="A71" s="10" t="s">
        <v>629</v>
      </c>
      <c r="B71" s="8">
        <v>0</v>
      </c>
      <c r="C71" s="8">
        <v>1610.62</v>
      </c>
      <c r="D71" s="8">
        <v>-1610.62</v>
      </c>
      <c r="F71" t="b">
        <f>IF(ISERROR(VLOOKUP(A71,Payee!A:A,1,FALSE)),FALSE,TRUE)</f>
        <v>0</v>
      </c>
    </row>
    <row r="72" spans="1:6" x14ac:dyDescent="0.3">
      <c r="A72" s="8" t="s">
        <v>106</v>
      </c>
      <c r="B72" s="8">
        <v>5247.94</v>
      </c>
      <c r="C72" s="8">
        <v>5247.94</v>
      </c>
      <c r="D72" s="8">
        <v>0</v>
      </c>
      <c r="F72" t="b">
        <f>IF(ISERROR(VLOOKUP(A72,Payee!A:A,1,FALSE)),FALSE,TRUE)</f>
        <v>1</v>
      </c>
    </row>
    <row r="73" spans="1:6" x14ac:dyDescent="0.3">
      <c r="A73" s="10" t="s">
        <v>113</v>
      </c>
      <c r="B73" s="8">
        <v>2958.9</v>
      </c>
      <c r="C73" s="8">
        <v>2958.9</v>
      </c>
      <c r="D73" s="8">
        <v>0</v>
      </c>
      <c r="F73" t="b">
        <f>IF(ISERROR(VLOOKUP(A73,Payee!A:A,1,FALSE)),FALSE,TRUE)</f>
        <v>1</v>
      </c>
    </row>
    <row r="74" spans="1:6" x14ac:dyDescent="0.3">
      <c r="A74" s="8" t="s">
        <v>630</v>
      </c>
      <c r="B74" s="8">
        <v>7643.84</v>
      </c>
      <c r="C74" s="8">
        <v>7643.84</v>
      </c>
      <c r="D74" s="8">
        <v>0</v>
      </c>
      <c r="F74" t="b">
        <f>IF(ISERROR(VLOOKUP(A74,Payee!A:A,1,FALSE)),FALSE,TRUE)</f>
        <v>0</v>
      </c>
    </row>
    <row r="75" spans="1:6" ht="27" x14ac:dyDescent="0.3">
      <c r="A75" s="10" t="s">
        <v>631</v>
      </c>
      <c r="B75" s="8">
        <v>3287.67</v>
      </c>
      <c r="C75" s="8">
        <v>3287.67</v>
      </c>
      <c r="D75" s="8">
        <v>0</v>
      </c>
      <c r="F75" t="b">
        <f>IF(ISERROR(VLOOKUP(A75,Payee!A:A,1,FALSE)),FALSE,TRUE)</f>
        <v>0</v>
      </c>
    </row>
    <row r="76" spans="1:6" x14ac:dyDescent="0.3">
      <c r="A76" s="10" t="s">
        <v>632</v>
      </c>
      <c r="B76" s="8">
        <v>0</v>
      </c>
      <c r="C76" s="8">
        <v>432.43</v>
      </c>
      <c r="D76" s="8">
        <v>-432.43</v>
      </c>
      <c r="F76" t="b">
        <f>IF(ISERROR(VLOOKUP(A76,Payee!A:A,1,FALSE)),FALSE,TRUE)</f>
        <v>0</v>
      </c>
    </row>
    <row r="77" spans="1:6" x14ac:dyDescent="0.3">
      <c r="A77" s="10" t="s">
        <v>118</v>
      </c>
      <c r="B77" s="8">
        <v>51500</v>
      </c>
      <c r="C77" s="8">
        <v>51500</v>
      </c>
      <c r="D77" s="8">
        <v>0</v>
      </c>
      <c r="F77" t="b">
        <f>IF(ISERROR(VLOOKUP(A77,Payee!A:A,1,FALSE)),FALSE,TRUE)</f>
        <v>1</v>
      </c>
    </row>
    <row r="78" spans="1:6" x14ac:dyDescent="0.3">
      <c r="A78" s="10" t="s">
        <v>633</v>
      </c>
      <c r="B78" s="8">
        <v>0</v>
      </c>
      <c r="C78" s="8">
        <v>1547.91</v>
      </c>
      <c r="D78" s="8">
        <v>-1547.91</v>
      </c>
      <c r="F78" t="b">
        <f>IF(ISERROR(VLOOKUP(A78,Payee!A:A,1,FALSE)),FALSE,TRUE)</f>
        <v>0</v>
      </c>
    </row>
    <row r="79" spans="1:6" x14ac:dyDescent="0.3">
      <c r="A79" s="8" t="s">
        <v>634</v>
      </c>
      <c r="B79" s="8">
        <v>0</v>
      </c>
      <c r="C79" s="8">
        <v>775.92</v>
      </c>
      <c r="D79" s="8">
        <v>-775.92</v>
      </c>
      <c r="F79" t="b">
        <f>IF(ISERROR(VLOOKUP(A79,Payee!A:A,1,FALSE)),FALSE,TRUE)</f>
        <v>0</v>
      </c>
    </row>
    <row r="80" spans="1:6" x14ac:dyDescent="0.3">
      <c r="A80" s="10" t="s">
        <v>635</v>
      </c>
      <c r="B80" s="8">
        <v>0</v>
      </c>
      <c r="C80" s="8">
        <v>387.37</v>
      </c>
      <c r="D80" s="8">
        <v>-387.37</v>
      </c>
      <c r="F80" t="b">
        <f>IF(ISERROR(VLOOKUP(A80,Payee!A:A,1,FALSE)),FALSE,TRUE)</f>
        <v>0</v>
      </c>
    </row>
    <row r="81" spans="1:6" x14ac:dyDescent="0.3">
      <c r="A81" s="8" t="s">
        <v>131</v>
      </c>
      <c r="B81" s="8">
        <v>458.63</v>
      </c>
      <c r="C81" s="8">
        <v>458.63</v>
      </c>
      <c r="D81" s="8">
        <v>0</v>
      </c>
      <c r="F81" t="b">
        <f>IF(ISERROR(VLOOKUP(A81,Payee!A:A,1,FALSE)),FALSE,TRUE)</f>
        <v>1</v>
      </c>
    </row>
    <row r="82" spans="1:6" x14ac:dyDescent="0.3">
      <c r="A82" s="10" t="s">
        <v>132</v>
      </c>
      <c r="B82" s="8">
        <v>3287.67</v>
      </c>
      <c r="C82" s="8">
        <v>3287.67</v>
      </c>
      <c r="D82" s="8">
        <v>0</v>
      </c>
      <c r="F82" t="b">
        <f>IF(ISERROR(VLOOKUP(A82,Payee!A:A,1,FALSE)),FALSE,TRUE)</f>
        <v>1</v>
      </c>
    </row>
    <row r="83" spans="1:6" x14ac:dyDescent="0.3">
      <c r="A83" s="10" t="s">
        <v>636</v>
      </c>
      <c r="B83" s="8">
        <v>0</v>
      </c>
      <c r="C83" s="8">
        <v>1383.91</v>
      </c>
      <c r="D83" s="8">
        <v>-1383.91</v>
      </c>
      <c r="F83" t="b">
        <f>IF(ISERROR(VLOOKUP(A83,Payee!A:A,1,FALSE)),FALSE,TRUE)</f>
        <v>0</v>
      </c>
    </row>
    <row r="84" spans="1:6" x14ac:dyDescent="0.3">
      <c r="A84" s="10" t="s">
        <v>637</v>
      </c>
      <c r="B84" s="8">
        <v>0</v>
      </c>
      <c r="C84" s="8">
        <v>4963.93</v>
      </c>
      <c r="D84" s="8">
        <v>-4963.93</v>
      </c>
      <c r="F84" t="b">
        <f>IF(ISERROR(VLOOKUP(A84,Payee!A:A,1,FALSE)),FALSE,TRUE)</f>
        <v>0</v>
      </c>
    </row>
    <row r="85" spans="1:6" x14ac:dyDescent="0.3">
      <c r="A85" s="10" t="s">
        <v>134</v>
      </c>
      <c r="B85" s="8">
        <v>2465.75</v>
      </c>
      <c r="C85" s="8">
        <v>2465.75</v>
      </c>
      <c r="D85" s="8">
        <v>0</v>
      </c>
      <c r="F85" t="b">
        <f>IF(ISERROR(VLOOKUP(A85,Payee!A:A,1,FALSE)),FALSE,TRUE)</f>
        <v>1</v>
      </c>
    </row>
    <row r="86" spans="1:6" x14ac:dyDescent="0.3">
      <c r="A86" s="8" t="s">
        <v>135</v>
      </c>
      <c r="B86" s="8">
        <v>19726.03</v>
      </c>
      <c r="C86" s="8">
        <v>19726.03</v>
      </c>
      <c r="D86" s="8">
        <v>0</v>
      </c>
      <c r="F86" t="b">
        <f>IF(ISERROR(VLOOKUP(A86,Payee!A:A,1,FALSE)),FALSE,TRUE)</f>
        <v>1</v>
      </c>
    </row>
    <row r="87" spans="1:6" x14ac:dyDescent="0.3">
      <c r="A87" s="10" t="s">
        <v>638</v>
      </c>
      <c r="B87" s="8">
        <v>0</v>
      </c>
      <c r="C87" s="8">
        <v>2972.52</v>
      </c>
      <c r="D87" s="8">
        <v>-2972.52</v>
      </c>
      <c r="F87" t="b">
        <f>IF(ISERROR(VLOOKUP(A87,Payee!A:A,1,FALSE)),FALSE,TRUE)</f>
        <v>0</v>
      </c>
    </row>
    <row r="88" spans="1:6" x14ac:dyDescent="0.3">
      <c r="A88" s="10" t="s">
        <v>136</v>
      </c>
      <c r="B88" s="8">
        <v>4931.51</v>
      </c>
      <c r="C88" s="8">
        <v>4931.51</v>
      </c>
      <c r="D88" s="8">
        <v>0</v>
      </c>
      <c r="F88" t="b">
        <f>IF(ISERROR(VLOOKUP(A88,Payee!A:A,1,FALSE)),FALSE,TRUE)</f>
        <v>1</v>
      </c>
    </row>
    <row r="89" spans="1:6" x14ac:dyDescent="0.3">
      <c r="A89" s="10" t="s">
        <v>639</v>
      </c>
      <c r="B89" s="8">
        <v>0</v>
      </c>
      <c r="C89" s="8">
        <v>4947.72</v>
      </c>
      <c r="D89" s="8">
        <v>-4947.72</v>
      </c>
      <c r="F89" t="b">
        <f>IF(ISERROR(VLOOKUP(A89,Payee!A:A,1,FALSE)),FALSE,TRUE)</f>
        <v>0</v>
      </c>
    </row>
    <row r="90" spans="1:6" x14ac:dyDescent="0.3">
      <c r="A90" s="10" t="s">
        <v>137</v>
      </c>
      <c r="B90" s="8">
        <v>2465.75</v>
      </c>
      <c r="C90" s="8">
        <v>2465.75</v>
      </c>
      <c r="D90" s="8">
        <v>0</v>
      </c>
      <c r="F90" t="b">
        <f>IF(ISERROR(VLOOKUP(A90,Payee!A:A,1,FALSE)),FALSE,TRUE)</f>
        <v>1</v>
      </c>
    </row>
    <row r="91" spans="1:6" x14ac:dyDescent="0.3">
      <c r="A91" s="10" t="s">
        <v>248</v>
      </c>
      <c r="B91" s="8">
        <v>2136.9899999999998</v>
      </c>
      <c r="C91" s="8">
        <v>2136.9899999999998</v>
      </c>
      <c r="D91" s="8">
        <v>0</v>
      </c>
      <c r="F91" t="b">
        <f>IF(ISERROR(VLOOKUP(A91,Payee!A:A,1,FALSE)),FALSE,TRUE)</f>
        <v>1</v>
      </c>
    </row>
    <row r="92" spans="1:6" x14ac:dyDescent="0.3">
      <c r="A92" s="8" t="s">
        <v>249</v>
      </c>
      <c r="B92" s="8">
        <v>2082.19</v>
      </c>
      <c r="C92" s="8">
        <v>2082.19</v>
      </c>
      <c r="D92" s="8">
        <v>0</v>
      </c>
      <c r="F92" t="b">
        <f>IF(ISERROR(VLOOKUP(A92,Payee!A:A,1,FALSE)),FALSE,TRUE)</f>
        <v>1</v>
      </c>
    </row>
    <row r="93" spans="1:6" x14ac:dyDescent="0.3">
      <c r="A93" s="10" t="s">
        <v>250</v>
      </c>
      <c r="B93" s="8">
        <v>9205.48</v>
      </c>
      <c r="C93" s="8">
        <v>9205.48</v>
      </c>
      <c r="D93" s="8">
        <v>0</v>
      </c>
      <c r="F93" t="b">
        <f>IF(ISERROR(VLOOKUP(A93,Payee!A:A,1,FALSE)),FALSE,TRUE)</f>
        <v>1</v>
      </c>
    </row>
    <row r="94" spans="1:6" x14ac:dyDescent="0.3">
      <c r="A94" s="8"/>
      <c r="B94" s="8"/>
      <c r="C94" s="8"/>
      <c r="D94" s="8"/>
      <c r="F94" t="b">
        <f>IF(ISERROR(VLOOKUP(A94,Payee!A:A,1,FALSE)),FALSE,TRUE)</f>
        <v>0</v>
      </c>
    </row>
    <row r="95" spans="1:6" x14ac:dyDescent="0.3">
      <c r="A95" s="8"/>
      <c r="B95" s="8"/>
      <c r="C95" s="8"/>
      <c r="D95" s="8"/>
      <c r="F95" t="b">
        <f>IF(ISERROR(VLOOKUP(A95,Payee!A:A,1,FALSE)),FALSE,TRUE)</f>
        <v>0</v>
      </c>
    </row>
    <row r="96" spans="1:6" x14ac:dyDescent="0.3">
      <c r="A96" s="8"/>
      <c r="B96" s="8"/>
      <c r="C96" s="8"/>
      <c r="D96" s="8"/>
      <c r="F96" t="b">
        <f>IF(ISERROR(VLOOKUP(A96,Payee!A:A,1,FALSE)),FALSE,TRUE)</f>
        <v>0</v>
      </c>
    </row>
    <row r="97" spans="1:6" x14ac:dyDescent="0.3">
      <c r="A97" s="8"/>
      <c r="B97" s="8"/>
      <c r="C97" s="8"/>
      <c r="D97" s="8"/>
      <c r="F97" t="b">
        <f>IF(ISERROR(VLOOKUP(A97,Payee!A:A,1,FALSE)),FALSE,TRUE)</f>
        <v>0</v>
      </c>
    </row>
    <row r="98" spans="1:6" x14ac:dyDescent="0.3">
      <c r="A98" s="8"/>
      <c r="B98" s="8"/>
      <c r="C98" s="8"/>
      <c r="D98" s="8"/>
      <c r="F98" t="b">
        <f>IF(ISERROR(VLOOKUP(A98,Payee!A:A,1,FALSE)),FALSE,TRUE)</f>
        <v>0</v>
      </c>
    </row>
    <row r="99" spans="1:6" x14ac:dyDescent="0.3">
      <c r="A99" s="8"/>
      <c r="B99" s="8"/>
      <c r="C99" s="8"/>
      <c r="D99" s="8"/>
      <c r="F99" t="b">
        <f>IF(ISERROR(VLOOKUP(A99,Payee!A:A,1,FALSE)),FALSE,TRUE)</f>
        <v>0</v>
      </c>
    </row>
    <row r="100" spans="1:6" x14ac:dyDescent="0.3">
      <c r="A100" s="8"/>
      <c r="B100" s="8"/>
      <c r="C100" s="8"/>
      <c r="D100" s="8"/>
      <c r="F100" t="b">
        <f>IF(ISERROR(VLOOKUP(A100,Payee!A:A,1,FALSE)),FALSE,TRUE)</f>
        <v>0</v>
      </c>
    </row>
    <row r="101" spans="1:6" x14ac:dyDescent="0.3">
      <c r="A101" s="8"/>
      <c r="B101" s="8"/>
      <c r="C101" s="8"/>
      <c r="D101" s="8"/>
      <c r="F101" t="b">
        <f>IF(ISERROR(VLOOKUP(A101,Payee!A:A,1,FALSE)),FALSE,TRUE)</f>
        <v>0</v>
      </c>
    </row>
    <row r="102" spans="1:6" x14ac:dyDescent="0.3">
      <c r="A102" s="8"/>
      <c r="B102" s="8"/>
      <c r="C102" s="8"/>
      <c r="D102" s="8"/>
      <c r="F102" t="b">
        <f>IF(ISERROR(VLOOKUP(A102,Payee!A:A,1,FALSE)),FALSE,TRUE)</f>
        <v>0</v>
      </c>
    </row>
    <row r="103" spans="1:6" x14ac:dyDescent="0.3">
      <c r="A103" s="8"/>
      <c r="B103" s="8"/>
      <c r="C103" s="8"/>
      <c r="D103" s="8"/>
      <c r="F103" t="b">
        <f>IF(ISERROR(VLOOKUP(A103,Payee!A:A,1,FALSE)),FALSE,TRUE)</f>
        <v>0</v>
      </c>
    </row>
    <row r="104" spans="1:6" x14ac:dyDescent="0.3">
      <c r="A104" s="8"/>
      <c r="B104" s="8"/>
      <c r="C104" s="8"/>
      <c r="D104" s="8"/>
      <c r="F104" t="b">
        <f>IF(ISERROR(VLOOKUP(A104,Payee!A:A,1,FALSE)),FALSE,TRUE)</f>
        <v>0</v>
      </c>
    </row>
    <row r="105" spans="1:6" x14ac:dyDescent="0.3">
      <c r="A105" s="8"/>
      <c r="B105" s="8"/>
      <c r="C105" s="8"/>
      <c r="D105" s="8"/>
      <c r="F105" t="b">
        <f>IF(ISERROR(VLOOKUP(A105,Payee!A:A,1,FALSE)),FALSE,TRUE)</f>
        <v>0</v>
      </c>
    </row>
    <row r="106" spans="1:6" x14ac:dyDescent="0.3">
      <c r="A106" s="8"/>
      <c r="B106" s="8"/>
      <c r="C106" s="8"/>
      <c r="D106" s="8"/>
      <c r="F106" t="b">
        <f>IF(ISERROR(VLOOKUP(A106,Payee!A:A,1,FALSE)),FALSE,TRUE)</f>
        <v>0</v>
      </c>
    </row>
    <row r="107" spans="1:6" x14ac:dyDescent="0.3">
      <c r="A107" s="8"/>
      <c r="B107" s="8"/>
      <c r="C107" s="8"/>
      <c r="D107" s="8"/>
      <c r="F107" t="b">
        <f>IF(ISERROR(VLOOKUP(A107,Payee!A:A,1,FALSE)),FALSE,TRUE)</f>
        <v>0</v>
      </c>
    </row>
    <row r="108" spans="1:6" x14ac:dyDescent="0.3">
      <c r="A108" s="8"/>
      <c r="B108" s="8"/>
      <c r="C108" s="8"/>
      <c r="D108" s="8"/>
      <c r="F108" t="b">
        <f>IF(ISERROR(VLOOKUP(A108,Payee!A:A,1,FALSE)),FALSE,TRUE)</f>
        <v>0</v>
      </c>
    </row>
    <row r="109" spans="1:6" x14ac:dyDescent="0.3">
      <c r="A109" s="8"/>
      <c r="B109" s="8"/>
      <c r="C109" s="8"/>
      <c r="D109" s="8"/>
      <c r="F109" t="b">
        <f>IF(ISERROR(VLOOKUP(A109,Payee!A:A,1,FALSE)),FALSE,TRUE)</f>
        <v>0</v>
      </c>
    </row>
    <row r="110" spans="1:6" x14ac:dyDescent="0.3">
      <c r="A110" s="8"/>
      <c r="B110" s="8"/>
      <c r="C110" s="8"/>
      <c r="D110" s="8"/>
      <c r="F110" t="b">
        <f>IF(ISERROR(VLOOKUP(A110,Payee!A:A,1,FALSE)),FALSE,TRUE)</f>
        <v>0</v>
      </c>
    </row>
    <row r="111" spans="1:6" x14ac:dyDescent="0.3">
      <c r="A111" s="8"/>
      <c r="B111" s="8"/>
      <c r="C111" s="8"/>
      <c r="D111" s="8"/>
      <c r="F111" t="b">
        <f>IF(ISERROR(VLOOKUP(A111,Payee!A:A,1,FALSE)),FALSE,TRUE)</f>
        <v>0</v>
      </c>
    </row>
    <row r="112" spans="1:6" x14ac:dyDescent="0.3">
      <c r="F112" t="b">
        <f>IF(ISERROR(VLOOKUP(A112,Payee!A:A,1,FALSE)),FALSE,TRUE)</f>
        <v>0</v>
      </c>
    </row>
    <row r="113" spans="6:6" x14ac:dyDescent="0.3">
      <c r="F113" t="b">
        <f>IF(ISERROR(VLOOKUP(A113,Payee!A:A,1,FALSE)),FALSE,TRUE)</f>
        <v>0</v>
      </c>
    </row>
    <row r="114" spans="6:6" x14ac:dyDescent="0.3">
      <c r="F114" t="b">
        <f>IF(ISERROR(VLOOKUP(A114,Payee!A:A,1,FALSE)),FALSE,TRUE)</f>
        <v>0</v>
      </c>
    </row>
    <row r="115" spans="6:6" x14ac:dyDescent="0.3">
      <c r="F115" t="b">
        <f>IF(ISERROR(VLOOKUP(A115,Payee!A:A,1,FALSE)),FALSE,TRUE)</f>
        <v>0</v>
      </c>
    </row>
    <row r="116" spans="6:6" x14ac:dyDescent="0.3">
      <c r="F116" t="b">
        <f>IF(ISERROR(VLOOKUP(A116,Payee!A:A,1,FALSE)),FALSE,TRUE)</f>
        <v>0</v>
      </c>
    </row>
    <row r="117" spans="6:6" x14ac:dyDescent="0.3">
      <c r="F117" t="b">
        <f>IF(ISERROR(VLOOKUP(A117,Payee!A:A,1,FALSE)),FALSE,TRUE)</f>
        <v>0</v>
      </c>
    </row>
    <row r="118" spans="6:6" x14ac:dyDescent="0.3">
      <c r="F118" t="b">
        <f>IF(ISERROR(VLOOKUP(A118,Payee!A:A,1,FALSE)),FALSE,TRUE)</f>
        <v>0</v>
      </c>
    </row>
    <row r="119" spans="6:6" x14ac:dyDescent="0.3">
      <c r="F119" t="b">
        <f>IF(ISERROR(VLOOKUP(A119,Payee!A:A,1,FALSE)),FALSE,TRUE)</f>
        <v>0</v>
      </c>
    </row>
    <row r="120" spans="6:6" x14ac:dyDescent="0.3">
      <c r="F120" t="b">
        <f>IF(ISERROR(VLOOKUP(A120,Payee!A:A,1,FALSE)),FALSE,TRUE)</f>
        <v>0</v>
      </c>
    </row>
    <row r="121" spans="6:6" x14ac:dyDescent="0.3">
      <c r="F121" t="b">
        <f>IF(ISERROR(VLOOKUP(A121,Payee!A:A,1,FALSE)),FALSE,TRUE)</f>
        <v>0</v>
      </c>
    </row>
    <row r="122" spans="6:6" x14ac:dyDescent="0.3">
      <c r="F122" t="b">
        <f>IF(ISERROR(VLOOKUP(A122,Payee!A:A,1,FALSE)),FALSE,TRUE)</f>
        <v>0</v>
      </c>
    </row>
    <row r="123" spans="6:6" x14ac:dyDescent="0.3">
      <c r="F123" t="b">
        <f>IF(ISERROR(VLOOKUP(A123,Payee!A:A,1,FALSE)),FALSE,TRUE)</f>
        <v>0</v>
      </c>
    </row>
    <row r="124" spans="6:6" x14ac:dyDescent="0.3">
      <c r="F124" t="b">
        <f>IF(ISERROR(VLOOKUP(A124,Payee!A:A,1,FALSE)),FALSE,TRUE)</f>
        <v>0</v>
      </c>
    </row>
    <row r="125" spans="6:6" x14ac:dyDescent="0.3">
      <c r="F125" t="b">
        <f>IF(ISERROR(VLOOKUP(A125,Payee!A:A,1,FALSE)),FALSE,TRUE)</f>
        <v>0</v>
      </c>
    </row>
    <row r="126" spans="6:6" x14ac:dyDescent="0.3">
      <c r="F126" t="b">
        <f>IF(ISERROR(VLOOKUP(A126,Payee!A:A,1,FALSE)),FALSE,TRUE)</f>
        <v>0</v>
      </c>
    </row>
    <row r="127" spans="6:6" x14ac:dyDescent="0.3">
      <c r="F127" t="b">
        <f>IF(ISERROR(VLOOKUP(A127,Payee!A:A,1,FALSE)),FALSE,TRUE)</f>
        <v>0</v>
      </c>
    </row>
    <row r="128" spans="6:6" x14ac:dyDescent="0.3">
      <c r="F128" t="b">
        <f>IF(ISERROR(VLOOKUP(A128,Payee!A:A,1,FALSE)),FALSE,TRUE)</f>
        <v>0</v>
      </c>
    </row>
    <row r="129" spans="6:6" x14ac:dyDescent="0.3">
      <c r="F129" t="b">
        <f>IF(ISERROR(VLOOKUP(A129,Payee!A:A,1,FALSE)),FALSE,TRUE)</f>
        <v>0</v>
      </c>
    </row>
    <row r="130" spans="6:6" x14ac:dyDescent="0.3">
      <c r="F130" t="b">
        <f>IF(ISERROR(VLOOKUP(A130,Payee!A:A,1,FALSE)),FALSE,TRUE)</f>
        <v>0</v>
      </c>
    </row>
    <row r="131" spans="6:6" x14ac:dyDescent="0.3">
      <c r="F131" t="b">
        <f>IF(ISERROR(VLOOKUP(A131,Payee!A:A,1,FALSE)),FALSE,TRUE)</f>
        <v>0</v>
      </c>
    </row>
    <row r="132" spans="6:6" x14ac:dyDescent="0.3">
      <c r="F132" t="b">
        <f>IF(ISERROR(VLOOKUP(A132,Payee!A:A,1,FALSE)),FALSE,TRUE)</f>
        <v>0</v>
      </c>
    </row>
    <row r="133" spans="6:6" x14ac:dyDescent="0.3">
      <c r="F133" t="b">
        <f>IF(ISERROR(VLOOKUP(A133,Payee!A:A,1,FALSE)),FALSE,TRUE)</f>
        <v>0</v>
      </c>
    </row>
    <row r="134" spans="6:6" x14ac:dyDescent="0.3">
      <c r="F134" t="b">
        <f>IF(ISERROR(VLOOKUP(A134,Payee!A:A,1,FALSE)),FALSE,TRUE)</f>
        <v>0</v>
      </c>
    </row>
    <row r="135" spans="6:6" x14ac:dyDescent="0.3">
      <c r="F135" t="b">
        <f>IF(ISERROR(VLOOKUP(A135,Payee!A:A,1,FALSE)),FALSE,TRUE)</f>
        <v>0</v>
      </c>
    </row>
    <row r="136" spans="6:6" x14ac:dyDescent="0.3">
      <c r="F136" t="b">
        <f>IF(ISERROR(VLOOKUP(A136,Payee!A:A,1,FALSE)),FALSE,TRUE)</f>
        <v>0</v>
      </c>
    </row>
    <row r="137" spans="6:6" x14ac:dyDescent="0.3">
      <c r="F137" t="b">
        <f>IF(ISERROR(VLOOKUP(A137,Payee!A:A,1,FALSE)),FALSE,TRUE)</f>
        <v>0</v>
      </c>
    </row>
    <row r="138" spans="6:6" x14ac:dyDescent="0.3">
      <c r="F138" t="b">
        <f>IF(ISERROR(VLOOKUP(A138,Payee!A:A,1,FALSE)),FALSE,TRUE)</f>
        <v>0</v>
      </c>
    </row>
    <row r="139" spans="6:6" x14ac:dyDescent="0.3">
      <c r="F139" t="b">
        <f>IF(ISERROR(VLOOKUP(A139,Payee!A:A,1,FALSE)),FALSE,TRUE)</f>
        <v>0</v>
      </c>
    </row>
    <row r="140" spans="6:6" x14ac:dyDescent="0.3">
      <c r="F140" t="b">
        <f>IF(ISERROR(VLOOKUP(A140,Payee!A:A,1,FALSE)),FALSE,TRUE)</f>
        <v>0</v>
      </c>
    </row>
    <row r="141" spans="6:6" x14ac:dyDescent="0.3">
      <c r="F141" t="b">
        <f>IF(ISERROR(VLOOKUP(A141,Payee!A:A,1,FALSE)),FALSE,TRUE)</f>
        <v>0</v>
      </c>
    </row>
    <row r="142" spans="6:6" x14ac:dyDescent="0.3">
      <c r="F142" t="b">
        <f>IF(ISERROR(VLOOKUP(A142,Payee!A:A,1,FALSE)),FALSE,TRUE)</f>
        <v>0</v>
      </c>
    </row>
    <row r="143" spans="6:6" x14ac:dyDescent="0.3">
      <c r="F143" t="b">
        <f>IF(ISERROR(VLOOKUP(A143,Payee!A:A,1,FALSE)),FALSE,TRUE)</f>
        <v>0</v>
      </c>
    </row>
    <row r="144" spans="6:6" x14ac:dyDescent="0.3">
      <c r="F144" t="b">
        <f>IF(ISERROR(VLOOKUP(A144,Payee!A:A,1,FALSE)),FALSE,TRUE)</f>
        <v>0</v>
      </c>
    </row>
    <row r="145" spans="6:6" x14ac:dyDescent="0.3">
      <c r="F145" t="b">
        <f>IF(ISERROR(VLOOKUP(A145,Payee!A:A,1,FALSE)),FALSE,TRUE)</f>
        <v>0</v>
      </c>
    </row>
    <row r="146" spans="6:6" x14ac:dyDescent="0.3">
      <c r="F146" t="b">
        <f>IF(ISERROR(VLOOKUP(A146,Payee!A:A,1,FALSE)),FALSE,TRUE)</f>
        <v>0</v>
      </c>
    </row>
    <row r="147" spans="6:6" x14ac:dyDescent="0.3">
      <c r="F147" t="b">
        <f>IF(ISERROR(VLOOKUP(A147,Payee!A:A,1,FALSE)),FALSE,TRUE)</f>
        <v>0</v>
      </c>
    </row>
    <row r="148" spans="6:6" x14ac:dyDescent="0.3">
      <c r="F148" t="b">
        <f>IF(ISERROR(VLOOKUP(A148,Payee!A:A,1,FALSE)),FALSE,TRUE)</f>
        <v>0</v>
      </c>
    </row>
    <row r="149" spans="6:6" x14ac:dyDescent="0.3">
      <c r="F149" t="b">
        <f>IF(ISERROR(VLOOKUP(A149,Payee!A:A,1,FALSE)),FALSE,TRUE)</f>
        <v>0</v>
      </c>
    </row>
    <row r="150" spans="6:6" x14ac:dyDescent="0.3">
      <c r="F150" t="b">
        <f>IF(ISERROR(VLOOKUP(A150,Payee!A:A,1,FALSE)),FALSE,TRUE)</f>
        <v>0</v>
      </c>
    </row>
    <row r="151" spans="6:6" x14ac:dyDescent="0.3">
      <c r="F151" t="b">
        <f>IF(ISERROR(VLOOKUP(A151,Payee!A:A,1,FALSE)),FALSE,TRUE)</f>
        <v>0</v>
      </c>
    </row>
    <row r="152" spans="6:6" x14ac:dyDescent="0.3">
      <c r="F152" t="b">
        <f>IF(ISERROR(VLOOKUP(A152,Payee!A:A,1,FALSE)),FALSE,TRUE)</f>
        <v>0</v>
      </c>
    </row>
    <row r="153" spans="6:6" x14ac:dyDescent="0.3">
      <c r="F153" t="b">
        <f>IF(ISERROR(VLOOKUP(A153,Payee!A:A,1,FALSE)),FALSE,TRUE)</f>
        <v>0</v>
      </c>
    </row>
    <row r="154" spans="6:6" x14ac:dyDescent="0.3">
      <c r="F154" t="b">
        <f>IF(ISERROR(VLOOKUP(A154,Payee!A:A,1,FALSE)),FALSE,TRUE)</f>
        <v>0</v>
      </c>
    </row>
    <row r="155" spans="6:6" x14ac:dyDescent="0.3">
      <c r="F155" t="b">
        <f>IF(ISERROR(VLOOKUP(A155,Payee!A:A,1,FALSE)),FALSE,TRUE)</f>
        <v>0</v>
      </c>
    </row>
    <row r="156" spans="6:6" x14ac:dyDescent="0.3">
      <c r="F156" t="b">
        <f>IF(ISERROR(VLOOKUP(A156,Payee!A:A,1,FALSE)),FALSE,TRUE)</f>
        <v>0</v>
      </c>
    </row>
    <row r="157" spans="6:6" x14ac:dyDescent="0.3">
      <c r="F157" t="b">
        <f>IF(ISERROR(VLOOKUP(A157,Payee!A:A,1,FALSE)),FALSE,TRUE)</f>
        <v>0</v>
      </c>
    </row>
    <row r="158" spans="6:6" x14ac:dyDescent="0.3">
      <c r="F158" t="b">
        <f>IF(ISERROR(VLOOKUP(A158,Payee!A:A,1,FALSE)),FALSE,TRUE)</f>
        <v>0</v>
      </c>
    </row>
    <row r="159" spans="6:6" x14ac:dyDescent="0.3">
      <c r="F159" t="b">
        <f>IF(ISERROR(VLOOKUP(A159,Payee!A:A,1,FALSE)),FALSE,TRUE)</f>
        <v>0</v>
      </c>
    </row>
    <row r="160" spans="6:6" x14ac:dyDescent="0.3">
      <c r="F160" t="b">
        <f>IF(ISERROR(VLOOKUP(A160,Payee!A:A,1,FALSE)),FALSE,TRUE)</f>
        <v>0</v>
      </c>
    </row>
  </sheetData>
  <autoFilter ref="A1:D112" xr:uid="{63CED11C-CB5D-4E76-955A-350BB2C075B7}"/>
  <conditionalFormatting sqref="F2:F160">
    <cfRule type="cellIs" dxfId="2" priority="1" operator="equal">
      <formula>FALSE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Automate">
                <anchor moveWithCells="1" sizeWithCells="1">
                  <from>
                    <xdr:col>0</xdr:col>
                    <xdr:colOff>198120</xdr:colOff>
                    <xdr:row>0</xdr:row>
                    <xdr:rowOff>114300</xdr:rowOff>
                  </from>
                  <to>
                    <xdr:col>0</xdr:col>
                    <xdr:colOff>1615440</xdr:colOff>
                    <xdr:row>0</xdr:row>
                    <xdr:rowOff>548640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3AB3D-BF81-45BD-A787-C93B2D518C62}">
  <sheetPr codeName="Sheet5">
    <tabColor rgb="FFFFFF00"/>
  </sheetPr>
  <dimension ref="A1:H38"/>
  <sheetViews>
    <sheetView workbookViewId="0">
      <selection activeCell="D20" sqref="D20"/>
    </sheetView>
  </sheetViews>
  <sheetFormatPr defaultRowHeight="14.4" x14ac:dyDescent="0.3"/>
  <cols>
    <col min="1" max="1" width="42.109375" customWidth="1"/>
    <col min="2" max="2" width="12" bestFit="1" customWidth="1"/>
    <col min="3" max="3" width="11" bestFit="1" customWidth="1"/>
    <col min="4" max="4" width="14" bestFit="1" customWidth="1"/>
    <col min="6" max="6" width="28" bestFit="1" customWidth="1"/>
    <col min="8" max="8" width="48" bestFit="1" customWidth="1"/>
  </cols>
  <sheetData>
    <row r="1" spans="1:8" x14ac:dyDescent="0.3">
      <c r="A1" s="4" t="s">
        <v>117</v>
      </c>
      <c r="B1" s="4" t="s">
        <v>112</v>
      </c>
      <c r="C1" s="7" t="s">
        <v>107</v>
      </c>
      <c r="D1" s="4" t="s">
        <v>100</v>
      </c>
      <c r="F1" s="1" t="s">
        <v>51</v>
      </c>
      <c r="H1" s="9" t="s">
        <v>329</v>
      </c>
    </row>
    <row r="2" spans="1:8" x14ac:dyDescent="0.3">
      <c r="A2" t="s">
        <v>78</v>
      </c>
      <c r="B2">
        <v>9863.01</v>
      </c>
      <c r="C2">
        <v>9863.01</v>
      </c>
      <c r="D2">
        <v>0</v>
      </c>
      <c r="F2" t="b">
        <f>IF(ISERROR(VLOOKUP(A2,Payee!A:A,1,FALSE)),FALSE,TRUE)</f>
        <v>1</v>
      </c>
    </row>
    <row r="3" spans="1:8" x14ac:dyDescent="0.3">
      <c r="A3" t="s">
        <v>119</v>
      </c>
      <c r="B3">
        <v>24657.53</v>
      </c>
      <c r="C3">
        <v>24657.53</v>
      </c>
      <c r="D3">
        <v>0</v>
      </c>
      <c r="F3" t="b">
        <f>IF(ISERROR(VLOOKUP(A3,Payee!A:A,1,FALSE)),FALSE,TRUE)</f>
        <v>1</v>
      </c>
    </row>
    <row r="4" spans="1:8" x14ac:dyDescent="0.3">
      <c r="A4" t="s">
        <v>66</v>
      </c>
      <c r="B4">
        <v>3821.92</v>
      </c>
      <c r="C4">
        <v>3821.92</v>
      </c>
      <c r="D4">
        <v>0</v>
      </c>
      <c r="F4" t="b">
        <f>IF(ISERROR(VLOOKUP(A4,Payee!A:A,1,FALSE)),FALSE,TRUE)</f>
        <v>1</v>
      </c>
    </row>
    <row r="5" spans="1:8" x14ac:dyDescent="0.3">
      <c r="A5" t="s">
        <v>640</v>
      </c>
      <c r="B5">
        <v>12739.72</v>
      </c>
      <c r="C5">
        <v>12739.72</v>
      </c>
      <c r="D5">
        <v>0</v>
      </c>
      <c r="F5" t="b">
        <f>IF(ISERROR(VLOOKUP(A5,Payee!A:A,1,FALSE)),FALSE,TRUE)</f>
        <v>0</v>
      </c>
    </row>
    <row r="6" spans="1:8" x14ac:dyDescent="0.3">
      <c r="F6" t="b">
        <f>IF(ISERROR(VLOOKUP(A6,Payee!A:A,1,FALSE)),FALSE,TRUE)</f>
        <v>0</v>
      </c>
    </row>
    <row r="7" spans="1:8" x14ac:dyDescent="0.3">
      <c r="F7" t="b">
        <f>IF(ISERROR(VLOOKUP(A7,Payee!A:A,1,FALSE)),FALSE,TRUE)</f>
        <v>0</v>
      </c>
    </row>
    <row r="8" spans="1:8" x14ac:dyDescent="0.3">
      <c r="F8" t="b">
        <f>IF(ISERROR(VLOOKUP(A8,Payee!A:A,1,FALSE)),FALSE,TRUE)</f>
        <v>0</v>
      </c>
    </row>
    <row r="9" spans="1:8" x14ac:dyDescent="0.3">
      <c r="F9" t="b">
        <f>IF(ISERROR(VLOOKUP(A9,Payee!A:A,1,FALSE)),FALSE,TRUE)</f>
        <v>0</v>
      </c>
    </row>
    <row r="10" spans="1:8" x14ac:dyDescent="0.3">
      <c r="F10" t="b">
        <f>IF(ISERROR(VLOOKUP(A10,Payee!A:A,1,FALSE)),FALSE,TRUE)</f>
        <v>0</v>
      </c>
    </row>
    <row r="11" spans="1:8" x14ac:dyDescent="0.3">
      <c r="F11" t="b">
        <f>IF(ISERROR(VLOOKUP(A11,Payee!A:A,1,FALSE)),FALSE,TRUE)</f>
        <v>0</v>
      </c>
    </row>
    <row r="12" spans="1:8" x14ac:dyDescent="0.3">
      <c r="F12" t="b">
        <f>IF(ISERROR(VLOOKUP(A12,Payee!A:A,1,FALSE)),FALSE,TRUE)</f>
        <v>0</v>
      </c>
    </row>
    <row r="13" spans="1:8" x14ac:dyDescent="0.3">
      <c r="F13" t="b">
        <f>IF(ISERROR(VLOOKUP(A13,Payee!A:A,1,FALSE)),FALSE,TRUE)</f>
        <v>0</v>
      </c>
    </row>
    <row r="14" spans="1:8" x14ac:dyDescent="0.3">
      <c r="F14" t="b">
        <f>IF(ISERROR(VLOOKUP(A14,Payee!A:A,1,FALSE)),FALSE,TRUE)</f>
        <v>0</v>
      </c>
    </row>
    <row r="15" spans="1:8" x14ac:dyDescent="0.3">
      <c r="F15" t="b">
        <f>IF(ISERROR(VLOOKUP(A15,Payee!A:A,1,FALSE)),FALSE,TRUE)</f>
        <v>0</v>
      </c>
    </row>
    <row r="16" spans="1:8" x14ac:dyDescent="0.3">
      <c r="F16" t="b">
        <f>IF(ISERROR(VLOOKUP(A16,Payee!A:A,1,FALSE)),FALSE,TRUE)</f>
        <v>0</v>
      </c>
    </row>
    <row r="17" spans="6:6" x14ac:dyDescent="0.3">
      <c r="F17" t="b">
        <f>IF(ISERROR(VLOOKUP(A17,Payee!A:A,1,FALSE)),FALSE,TRUE)</f>
        <v>0</v>
      </c>
    </row>
    <row r="18" spans="6:6" x14ac:dyDescent="0.3">
      <c r="F18" t="b">
        <f>IF(ISERROR(VLOOKUP(A18,Payee!A:A,1,FALSE)),FALSE,TRUE)</f>
        <v>0</v>
      </c>
    </row>
    <row r="19" spans="6:6" x14ac:dyDescent="0.3">
      <c r="F19" t="b">
        <f>IF(ISERROR(VLOOKUP(A19,Payee!A:A,1,FALSE)),FALSE,TRUE)</f>
        <v>0</v>
      </c>
    </row>
    <row r="20" spans="6:6" x14ac:dyDescent="0.3">
      <c r="F20" t="b">
        <f>IF(ISERROR(VLOOKUP(A20,Payee!A:A,1,FALSE)),FALSE,TRUE)</f>
        <v>0</v>
      </c>
    </row>
    <row r="21" spans="6:6" x14ac:dyDescent="0.3">
      <c r="F21" t="b">
        <f>IF(ISERROR(VLOOKUP(A21,Payee!A:A,1,FALSE)),FALSE,TRUE)</f>
        <v>0</v>
      </c>
    </row>
    <row r="22" spans="6:6" x14ac:dyDescent="0.3">
      <c r="F22" t="b">
        <f>IF(ISERROR(VLOOKUP(A22,Payee!A:A,1,FALSE)),FALSE,TRUE)</f>
        <v>0</v>
      </c>
    </row>
    <row r="23" spans="6:6" x14ac:dyDescent="0.3">
      <c r="F23" t="b">
        <f>IF(ISERROR(VLOOKUP(A23,Payee!A:A,1,FALSE)),FALSE,TRUE)</f>
        <v>0</v>
      </c>
    </row>
    <row r="24" spans="6:6" x14ac:dyDescent="0.3">
      <c r="F24" t="b">
        <f>IF(ISERROR(VLOOKUP(A24,Payee!A:A,1,FALSE)),FALSE,TRUE)</f>
        <v>0</v>
      </c>
    </row>
    <row r="25" spans="6:6" x14ac:dyDescent="0.3">
      <c r="F25" t="b">
        <f>IF(ISERROR(VLOOKUP(A25,Payee!A:A,1,FALSE)),FALSE,TRUE)</f>
        <v>0</v>
      </c>
    </row>
    <row r="26" spans="6:6" x14ac:dyDescent="0.3">
      <c r="F26" t="b">
        <f>IF(ISERROR(VLOOKUP(A26,Payee!A:A,1,FALSE)),FALSE,TRUE)</f>
        <v>0</v>
      </c>
    </row>
    <row r="27" spans="6:6" x14ac:dyDescent="0.3">
      <c r="F27" t="b">
        <f>IF(ISERROR(VLOOKUP(A27,Payee!A:A,1,FALSE)),FALSE,TRUE)</f>
        <v>0</v>
      </c>
    </row>
    <row r="28" spans="6:6" x14ac:dyDescent="0.3">
      <c r="F28" t="b">
        <f>IF(ISERROR(VLOOKUP(A28,Payee!A:A,1,FALSE)),FALSE,TRUE)</f>
        <v>0</v>
      </c>
    </row>
    <row r="29" spans="6:6" x14ac:dyDescent="0.3">
      <c r="F29" t="b">
        <f>IF(ISERROR(VLOOKUP(A29,Payee!A:A,1,FALSE)),FALSE,TRUE)</f>
        <v>0</v>
      </c>
    </row>
    <row r="30" spans="6:6" x14ac:dyDescent="0.3">
      <c r="F30" t="b">
        <f>IF(ISERROR(VLOOKUP(A30,Payee!A:A,1,FALSE)),FALSE,TRUE)</f>
        <v>0</v>
      </c>
    </row>
    <row r="31" spans="6:6" x14ac:dyDescent="0.3">
      <c r="F31" t="b">
        <f>IF(ISERROR(VLOOKUP(A31,Payee!A:A,1,FALSE)),FALSE,TRUE)</f>
        <v>0</v>
      </c>
    </row>
    <row r="32" spans="6:6" x14ac:dyDescent="0.3">
      <c r="F32" t="b">
        <f>IF(ISERROR(VLOOKUP(A32,Payee!A:A,1,FALSE)),FALSE,TRUE)</f>
        <v>0</v>
      </c>
    </row>
    <row r="33" spans="6:6" x14ac:dyDescent="0.3">
      <c r="F33" t="b">
        <f>IF(ISERROR(VLOOKUP(A33,Payee!A:A,1,FALSE)),FALSE,TRUE)</f>
        <v>0</v>
      </c>
    </row>
    <row r="34" spans="6:6" x14ac:dyDescent="0.3">
      <c r="F34" t="b">
        <f>IF(ISERROR(VLOOKUP(A34,Payee!A:A,1,FALSE)),FALSE,TRUE)</f>
        <v>0</v>
      </c>
    </row>
    <row r="35" spans="6:6" x14ac:dyDescent="0.3">
      <c r="F35" t="b">
        <f>IF(ISERROR(VLOOKUP(A35,Payee!A:A,1,FALSE)),FALSE,TRUE)</f>
        <v>0</v>
      </c>
    </row>
    <row r="36" spans="6:6" x14ac:dyDescent="0.3">
      <c r="F36" t="b">
        <f>IF(ISERROR(VLOOKUP(A36,Payee!A:A,1,FALSE)),FALSE,TRUE)</f>
        <v>0</v>
      </c>
    </row>
    <row r="37" spans="6:6" x14ac:dyDescent="0.3">
      <c r="F37" t="b">
        <f>IF(ISERROR(VLOOKUP(A37,Payee!A:A,1,FALSE)),FALSE,TRUE)</f>
        <v>0</v>
      </c>
    </row>
    <row r="38" spans="6:6" x14ac:dyDescent="0.3">
      <c r="F38" t="b">
        <f>IF(ISERROR(VLOOKUP(A38,Payee!A:A,1,FALSE)),FALSE,TRUE)</f>
        <v>0</v>
      </c>
    </row>
  </sheetData>
  <conditionalFormatting sqref="F2:F38">
    <cfRule type="cellIs" dxfId="1" priority="1" operator="equal">
      <formula>FALSE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A59F3-F407-40C6-973E-A83C51177EA7}">
  <sheetPr codeName="Sheet6">
    <tabColor rgb="FFFFFF00"/>
  </sheetPr>
  <dimension ref="A1:H38"/>
  <sheetViews>
    <sheetView workbookViewId="0">
      <selection activeCell="C12" sqref="C12"/>
    </sheetView>
  </sheetViews>
  <sheetFormatPr defaultRowHeight="14.4" x14ac:dyDescent="0.3"/>
  <cols>
    <col min="1" max="1" width="44.5546875" customWidth="1"/>
    <col min="2" max="2" width="12" bestFit="1" customWidth="1"/>
    <col min="3" max="3" width="11" bestFit="1" customWidth="1"/>
    <col min="4" max="4" width="14" bestFit="1" customWidth="1"/>
    <col min="6" max="6" width="28" bestFit="1" customWidth="1"/>
    <col min="8" max="8" width="50" bestFit="1" customWidth="1"/>
  </cols>
  <sheetData>
    <row r="1" spans="1:8" x14ac:dyDescent="0.3">
      <c r="A1" s="4" t="s">
        <v>117</v>
      </c>
      <c r="B1" s="4" t="s">
        <v>112</v>
      </c>
      <c r="C1" s="7" t="s">
        <v>107</v>
      </c>
      <c r="D1" s="4" t="s">
        <v>100</v>
      </c>
      <c r="F1" s="1" t="s">
        <v>51</v>
      </c>
      <c r="H1" s="9" t="s">
        <v>330</v>
      </c>
    </row>
    <row r="2" spans="1:8" x14ac:dyDescent="0.3">
      <c r="A2" t="s">
        <v>2</v>
      </c>
      <c r="B2">
        <v>2876.71</v>
      </c>
      <c r="C2">
        <v>2876.71</v>
      </c>
      <c r="D2">
        <v>0</v>
      </c>
      <c r="F2" t="b">
        <f>IF(ISERROR(VLOOKUP(A2,Payee!A:A,1,FALSE)),FALSE,TRUE)</f>
        <v>1</v>
      </c>
    </row>
    <row r="3" spans="1:8" x14ac:dyDescent="0.3">
      <c r="A3" t="s">
        <v>65</v>
      </c>
      <c r="B3">
        <v>2301.37</v>
      </c>
      <c r="C3">
        <v>2301.37</v>
      </c>
      <c r="D3">
        <v>0</v>
      </c>
      <c r="F3" t="b">
        <f>IF(ISERROR(VLOOKUP(A3,Payee!A:A,1,FALSE)),FALSE,TRUE)</f>
        <v>1</v>
      </c>
    </row>
    <row r="4" spans="1:8" x14ac:dyDescent="0.3">
      <c r="A4" t="s">
        <v>119</v>
      </c>
      <c r="B4">
        <v>17260.27</v>
      </c>
      <c r="C4">
        <v>17260.27</v>
      </c>
      <c r="D4">
        <v>0</v>
      </c>
      <c r="F4" t="b">
        <f>IF(ISERROR(VLOOKUP(A4,Payee!A:A,1,FALSE)),FALSE,TRUE)</f>
        <v>1</v>
      </c>
    </row>
    <row r="5" spans="1:8" x14ac:dyDescent="0.3">
      <c r="A5" t="s">
        <v>66</v>
      </c>
      <c r="B5">
        <v>5753.42</v>
      </c>
      <c r="C5">
        <v>5753.42</v>
      </c>
      <c r="D5">
        <v>0</v>
      </c>
      <c r="F5" t="b">
        <f>IF(ISERROR(VLOOKUP(A5,Payee!A:A,1,FALSE)),FALSE,TRUE)</f>
        <v>1</v>
      </c>
    </row>
    <row r="6" spans="1:8" x14ac:dyDescent="0.3">
      <c r="A6" t="s">
        <v>120</v>
      </c>
      <c r="B6">
        <v>11506.85</v>
      </c>
      <c r="C6">
        <v>11506.85</v>
      </c>
      <c r="D6">
        <v>0</v>
      </c>
      <c r="F6" t="b">
        <f>IF(ISERROR(VLOOKUP(A6,Payee!A:A,1,FALSE)),FALSE,TRUE)</f>
        <v>1</v>
      </c>
    </row>
    <row r="7" spans="1:8" x14ac:dyDescent="0.3">
      <c r="A7" t="s">
        <v>641</v>
      </c>
      <c r="B7">
        <v>0</v>
      </c>
      <c r="C7">
        <v>603.66999999999996</v>
      </c>
      <c r="D7">
        <v>-603.66999999999996</v>
      </c>
      <c r="F7" t="b">
        <f>IF(ISERROR(VLOOKUP(A7,Payee!A:A,1,FALSE)),FALSE,TRUE)</f>
        <v>0</v>
      </c>
    </row>
    <row r="8" spans="1:8" x14ac:dyDescent="0.3">
      <c r="A8" t="s">
        <v>3</v>
      </c>
      <c r="B8">
        <v>34520.550000000003</v>
      </c>
      <c r="C8">
        <v>34520.550000000003</v>
      </c>
      <c r="D8">
        <v>0</v>
      </c>
      <c r="F8" t="b">
        <f>IF(ISERROR(VLOOKUP(A8,Payee!A:A,1,FALSE)),FALSE,TRUE)</f>
        <v>1</v>
      </c>
    </row>
    <row r="9" spans="1:8" x14ac:dyDescent="0.3">
      <c r="A9" t="s">
        <v>114</v>
      </c>
      <c r="B9">
        <v>5753.42</v>
      </c>
      <c r="C9">
        <v>5753.42</v>
      </c>
      <c r="D9">
        <v>0</v>
      </c>
      <c r="F9" t="b">
        <f>IF(ISERROR(VLOOKUP(A9,Payee!A:A,1,FALSE)),FALSE,TRUE)</f>
        <v>1</v>
      </c>
    </row>
    <row r="10" spans="1:8" x14ac:dyDescent="0.3">
      <c r="F10" t="b">
        <f>IF(ISERROR(VLOOKUP(A10,Payee!A:A,1,FALSE)),FALSE,TRUE)</f>
        <v>0</v>
      </c>
    </row>
    <row r="11" spans="1:8" x14ac:dyDescent="0.3">
      <c r="F11" t="b">
        <f>IF(ISERROR(VLOOKUP(A11,Payee!A:A,1,FALSE)),FALSE,TRUE)</f>
        <v>0</v>
      </c>
    </row>
    <row r="12" spans="1:8" x14ac:dyDescent="0.3">
      <c r="F12" t="b">
        <f>IF(ISERROR(VLOOKUP(A12,Payee!A:A,1,FALSE)),FALSE,TRUE)</f>
        <v>0</v>
      </c>
    </row>
    <row r="13" spans="1:8" x14ac:dyDescent="0.3">
      <c r="F13" t="b">
        <f>IF(ISERROR(VLOOKUP(A13,Payee!A:A,1,FALSE)),FALSE,TRUE)</f>
        <v>0</v>
      </c>
    </row>
    <row r="14" spans="1:8" x14ac:dyDescent="0.3">
      <c r="F14" t="b">
        <f>IF(ISERROR(VLOOKUP(A14,Payee!A:A,1,FALSE)),FALSE,TRUE)</f>
        <v>0</v>
      </c>
    </row>
    <row r="15" spans="1:8" x14ac:dyDescent="0.3">
      <c r="F15" t="b">
        <f>IF(ISERROR(VLOOKUP(A15,Payee!A:A,1,FALSE)),FALSE,TRUE)</f>
        <v>0</v>
      </c>
    </row>
    <row r="16" spans="1:8" x14ac:dyDescent="0.3">
      <c r="F16" t="b">
        <f>IF(ISERROR(VLOOKUP(A16,Payee!A:A,1,FALSE)),FALSE,TRUE)</f>
        <v>0</v>
      </c>
    </row>
    <row r="17" spans="6:6" x14ac:dyDescent="0.3">
      <c r="F17" t="b">
        <f>IF(ISERROR(VLOOKUP(A17,Payee!A:A,1,FALSE)),FALSE,TRUE)</f>
        <v>0</v>
      </c>
    </row>
    <row r="18" spans="6:6" x14ac:dyDescent="0.3">
      <c r="F18" t="b">
        <f>IF(ISERROR(VLOOKUP(A18,Payee!A:A,1,FALSE)),FALSE,TRUE)</f>
        <v>0</v>
      </c>
    </row>
    <row r="19" spans="6:6" x14ac:dyDescent="0.3">
      <c r="F19" t="b">
        <f>IF(ISERROR(VLOOKUP(A19,Payee!A:A,1,FALSE)),FALSE,TRUE)</f>
        <v>0</v>
      </c>
    </row>
    <row r="20" spans="6:6" x14ac:dyDescent="0.3">
      <c r="F20" t="b">
        <f>IF(ISERROR(VLOOKUP(A20,Payee!A:A,1,FALSE)),FALSE,TRUE)</f>
        <v>0</v>
      </c>
    </row>
    <row r="21" spans="6:6" x14ac:dyDescent="0.3">
      <c r="F21" t="b">
        <f>IF(ISERROR(VLOOKUP(A21,Payee!A:A,1,FALSE)),FALSE,TRUE)</f>
        <v>0</v>
      </c>
    </row>
    <row r="22" spans="6:6" x14ac:dyDescent="0.3">
      <c r="F22" t="b">
        <f>IF(ISERROR(VLOOKUP(A22,Payee!A:A,1,FALSE)),FALSE,TRUE)</f>
        <v>0</v>
      </c>
    </row>
    <row r="23" spans="6:6" x14ac:dyDescent="0.3">
      <c r="F23" t="b">
        <f>IF(ISERROR(VLOOKUP(A23,Payee!A:A,1,FALSE)),FALSE,TRUE)</f>
        <v>0</v>
      </c>
    </row>
    <row r="24" spans="6:6" x14ac:dyDescent="0.3">
      <c r="F24" t="b">
        <f>IF(ISERROR(VLOOKUP(A24,Payee!A:A,1,FALSE)),FALSE,TRUE)</f>
        <v>0</v>
      </c>
    </row>
    <row r="25" spans="6:6" x14ac:dyDescent="0.3">
      <c r="F25" t="b">
        <f>IF(ISERROR(VLOOKUP(A25,Payee!A:A,1,FALSE)),FALSE,TRUE)</f>
        <v>0</v>
      </c>
    </row>
    <row r="26" spans="6:6" x14ac:dyDescent="0.3">
      <c r="F26" t="b">
        <f>IF(ISERROR(VLOOKUP(A26,Payee!A:A,1,FALSE)),FALSE,TRUE)</f>
        <v>0</v>
      </c>
    </row>
    <row r="27" spans="6:6" x14ac:dyDescent="0.3">
      <c r="F27" t="b">
        <f>IF(ISERROR(VLOOKUP(A27,Payee!A:A,1,FALSE)),FALSE,TRUE)</f>
        <v>0</v>
      </c>
    </row>
    <row r="28" spans="6:6" x14ac:dyDescent="0.3">
      <c r="F28" t="b">
        <f>IF(ISERROR(VLOOKUP(A28,Payee!A:A,1,FALSE)),FALSE,TRUE)</f>
        <v>0</v>
      </c>
    </row>
    <row r="29" spans="6:6" x14ac:dyDescent="0.3">
      <c r="F29" t="b">
        <f>IF(ISERROR(VLOOKUP(A29,Payee!A:A,1,FALSE)),FALSE,TRUE)</f>
        <v>0</v>
      </c>
    </row>
    <row r="30" spans="6:6" x14ac:dyDescent="0.3">
      <c r="F30" t="b">
        <f>IF(ISERROR(VLOOKUP(A30,Payee!A:A,1,FALSE)),FALSE,TRUE)</f>
        <v>0</v>
      </c>
    </row>
    <row r="31" spans="6:6" x14ac:dyDescent="0.3">
      <c r="F31" t="b">
        <f>IF(ISERROR(VLOOKUP(A31,Payee!A:A,1,FALSE)),FALSE,TRUE)</f>
        <v>0</v>
      </c>
    </row>
    <row r="32" spans="6:6" x14ac:dyDescent="0.3">
      <c r="F32" t="b">
        <f>IF(ISERROR(VLOOKUP(A32,Payee!A:A,1,FALSE)),FALSE,TRUE)</f>
        <v>0</v>
      </c>
    </row>
    <row r="33" spans="6:6" x14ac:dyDescent="0.3">
      <c r="F33" t="b">
        <f>IF(ISERROR(VLOOKUP(A33,Payee!A:A,1,FALSE)),FALSE,TRUE)</f>
        <v>0</v>
      </c>
    </row>
    <row r="34" spans="6:6" x14ac:dyDescent="0.3">
      <c r="F34" t="b">
        <f>IF(ISERROR(VLOOKUP(A34,Payee!A:A,1,FALSE)),FALSE,TRUE)</f>
        <v>0</v>
      </c>
    </row>
    <row r="35" spans="6:6" x14ac:dyDescent="0.3">
      <c r="F35" t="b">
        <f>IF(ISERROR(VLOOKUP(A35,Payee!A:A,1,FALSE)),FALSE,TRUE)</f>
        <v>0</v>
      </c>
    </row>
    <row r="36" spans="6:6" x14ac:dyDescent="0.3">
      <c r="F36" t="b">
        <f>IF(ISERROR(VLOOKUP(A36,Payee!A:A,1,FALSE)),FALSE,TRUE)</f>
        <v>0</v>
      </c>
    </row>
    <row r="37" spans="6:6" x14ac:dyDescent="0.3">
      <c r="F37" t="b">
        <f>IF(ISERROR(VLOOKUP(A37,Payee!A:A,1,FALSE)),FALSE,TRUE)</f>
        <v>0</v>
      </c>
    </row>
    <row r="38" spans="6:6" x14ac:dyDescent="0.3">
      <c r="F38" t="b">
        <f>IF(ISERROR(VLOOKUP(A38,Payee!A:A,1,FALSE)),FALSE,TRUE)</f>
        <v>0</v>
      </c>
    </row>
  </sheetData>
  <conditionalFormatting sqref="F2:F38">
    <cfRule type="cellIs" dxfId="0" priority="1" operator="equal">
      <formula>FALSE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40FE51-9B77-4E51-B88E-4994353730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Xero Contacts</vt:lpstr>
      <vt:lpstr>Temp</vt:lpstr>
      <vt:lpstr>Payee</vt:lpstr>
      <vt:lpstr>CPDF</vt:lpstr>
      <vt:lpstr>CDLOT</vt:lpstr>
      <vt:lpstr>CDLOT2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 Morei Narag</dc:creator>
  <cp:lastModifiedBy>Edward Jon Arquiza</cp:lastModifiedBy>
  <dcterms:created xsi:type="dcterms:W3CDTF">2023-08-25T07:56:00Z</dcterms:created>
  <dcterms:modified xsi:type="dcterms:W3CDTF">2024-06-27T23:53:13Z</dcterms:modified>
</cp:coreProperties>
</file>