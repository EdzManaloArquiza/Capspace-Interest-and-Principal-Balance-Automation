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D0A889AD-52DF-42B8-8211-59167E30EC22}" xr6:coauthVersionLast="47" xr6:coauthVersionMax="47" xr10:uidLastSave="{00000000-0000-0000-0000-000000000000}"/>
  <bookViews>
    <workbookView xWindow="-108" yWindow="-108" windowWidth="23256" windowHeight="12576" xr2:uid="{91866391-70AB-466B-BFEA-1C4083500074}"/>
  </bookViews>
  <sheets>
    <sheet name="Xero Contacts" sheetId="26" r:id="rId1"/>
    <sheet name="Payee" sheetId="2" r:id="rId2"/>
    <sheet name="Temp" sheetId="31" r:id="rId3"/>
    <sheet name="CPDF" sheetId="28" r:id="rId4"/>
    <sheet name="CDLOT" sheetId="29" r:id="rId5"/>
    <sheet name="CDLOT2" sheetId="30" r:id="rId6"/>
  </sheets>
  <definedNames>
    <definedName name="_xlnm._FilterDatabase" localSheetId="3" hidden="1">CPDF!$A$1:$D$112</definedName>
    <definedName name="_xlnm._FilterDatabase" localSheetId="1" hidden="1">Payee!$A$2:$A$89</definedName>
    <definedName name="_xlnm._FilterDatabase" localSheetId="0" hidden="1">'Xero Contacts'!$A$1:$D$100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" i="30" l="1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160" i="28"/>
  <c r="F159" i="28"/>
  <c r="F158" i="28"/>
  <c r="F157" i="28"/>
  <c r="F156" i="28"/>
  <c r="F155" i="28"/>
  <c r="F154" i="28"/>
  <c r="F153" i="28"/>
  <c r="F152" i="28"/>
  <c r="F151" i="28"/>
  <c r="F150" i="28"/>
  <c r="F149" i="28"/>
  <c r="F148" i="28"/>
  <c r="F147" i="28"/>
  <c r="F146" i="28"/>
  <c r="F145" i="28"/>
  <c r="F144" i="28"/>
  <c r="F143" i="28"/>
  <c r="F142" i="28"/>
  <c r="F141" i="28"/>
  <c r="F140" i="28"/>
  <c r="F139" i="28"/>
  <c r="F138" i="28"/>
  <c r="F137" i="28"/>
  <c r="F136" i="28"/>
  <c r="F135" i="28"/>
  <c r="F134" i="28"/>
  <c r="F133" i="28"/>
  <c r="F132" i="28"/>
  <c r="F131" i="28"/>
  <c r="F130" i="28"/>
  <c r="F129" i="28"/>
  <c r="F128" i="28"/>
  <c r="F127" i="28"/>
  <c r="F126" i="28"/>
  <c r="F125" i="28"/>
  <c r="F124" i="28"/>
  <c r="F123" i="28"/>
  <c r="F122" i="28"/>
  <c r="F121" i="28"/>
  <c r="F120" i="28"/>
  <c r="F119" i="28"/>
  <c r="F118" i="28"/>
  <c r="F117" i="28"/>
  <c r="F116" i="28"/>
  <c r="F115" i="28"/>
  <c r="F114" i="28"/>
  <c r="F113" i="28"/>
  <c r="F112" i="28"/>
  <c r="F111" i="28"/>
  <c r="F110" i="28"/>
  <c r="F109" i="28"/>
  <c r="F108" i="28"/>
  <c r="F107" i="28"/>
  <c r="F106" i="28"/>
  <c r="F105" i="28"/>
  <c r="F104" i="28"/>
  <c r="F103" i="28"/>
  <c r="F102" i="28"/>
  <c r="F101" i="28"/>
  <c r="F100" i="28"/>
  <c r="F99" i="28"/>
  <c r="F98" i="28"/>
  <c r="F97" i="28"/>
  <c r="F96" i="28"/>
  <c r="F95" i="28"/>
  <c r="F94" i="28"/>
  <c r="F93" i="28"/>
  <c r="F92" i="28"/>
  <c r="F91" i="28"/>
  <c r="F90" i="28"/>
  <c r="F89" i="28"/>
  <c r="F88" i="28"/>
  <c r="F87" i="28"/>
  <c r="F86" i="28"/>
  <c r="F85" i="28"/>
  <c r="F84" i="28"/>
  <c r="F83" i="28"/>
  <c r="F82" i="28"/>
  <c r="F81" i="28"/>
  <c r="F80" i="28"/>
  <c r="F79" i="28"/>
  <c r="F78" i="28"/>
  <c r="F77" i="28"/>
  <c r="F76" i="28"/>
  <c r="F75" i="28"/>
  <c r="F74" i="28"/>
  <c r="F73" i="28"/>
  <c r="F72" i="28"/>
  <c r="F71" i="28"/>
  <c r="F70" i="28"/>
  <c r="F69" i="28"/>
  <c r="F68" i="28"/>
  <c r="F67" i="28"/>
  <c r="F66" i="28"/>
  <c r="F65" i="28"/>
  <c r="F64" i="28"/>
  <c r="F63" i="28"/>
  <c r="F62" i="28"/>
  <c r="F61" i="28"/>
  <c r="F60" i="28"/>
  <c r="F59" i="28"/>
  <c r="F58" i="28"/>
  <c r="F57" i="28"/>
  <c r="F56" i="28"/>
  <c r="F55" i="28"/>
  <c r="F54" i="28"/>
  <c r="F53" i="28"/>
  <c r="F52" i="28"/>
  <c r="F51" i="28"/>
  <c r="F50" i="28"/>
  <c r="F49" i="28"/>
  <c r="F48" i="28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C3" i="26"/>
  <c r="C4" i="26"/>
  <c r="C5" i="26"/>
  <c r="C6" i="26"/>
  <c r="D6" i="26" s="1"/>
  <c r="C7" i="26"/>
  <c r="D7" i="26" s="1"/>
  <c r="C8" i="26"/>
  <c r="C9" i="26"/>
  <c r="D9" i="26" s="1"/>
  <c r="C10" i="26"/>
  <c r="D10" i="26" s="1"/>
  <c r="C11" i="26"/>
  <c r="C12" i="26"/>
  <c r="C13" i="26"/>
  <c r="D13" i="26" s="1"/>
  <c r="C14" i="26"/>
  <c r="D14" i="26" s="1"/>
  <c r="C15" i="26"/>
  <c r="D15" i="26" s="1"/>
  <c r="C16" i="26"/>
  <c r="D16" i="26" s="1"/>
  <c r="C17" i="26"/>
  <c r="D17" i="26" s="1"/>
  <c r="C18" i="26"/>
  <c r="D18" i="26" s="1"/>
  <c r="C19" i="26"/>
  <c r="C20" i="26"/>
  <c r="C21" i="26"/>
  <c r="D21" i="26" s="1"/>
  <c r="C22" i="26"/>
  <c r="D22" i="26" s="1"/>
  <c r="C23" i="26"/>
  <c r="D23" i="26" s="1"/>
  <c r="C24" i="26"/>
  <c r="C25" i="26"/>
  <c r="D25" i="26" s="1"/>
  <c r="C26" i="26"/>
  <c r="C27" i="26"/>
  <c r="D27" i="26" s="1"/>
  <c r="C28" i="26"/>
  <c r="D28" i="26" s="1"/>
  <c r="C29" i="26"/>
  <c r="C30" i="26"/>
  <c r="D30" i="26" s="1"/>
  <c r="C31" i="26"/>
  <c r="D31" i="26" s="1"/>
  <c r="C32" i="26"/>
  <c r="D32" i="26" s="1"/>
  <c r="C33" i="26"/>
  <c r="D33" i="26" s="1"/>
  <c r="C34" i="26"/>
  <c r="D34" i="26" s="1"/>
  <c r="C35" i="26"/>
  <c r="D35" i="26" s="1"/>
  <c r="C36" i="26"/>
  <c r="C37" i="26"/>
  <c r="C38" i="26"/>
  <c r="D38" i="26" s="1"/>
  <c r="C39" i="26"/>
  <c r="D39" i="26" s="1"/>
  <c r="C40" i="26"/>
  <c r="D40" i="26" s="1"/>
  <c r="C41" i="26"/>
  <c r="D41" i="26" s="1"/>
  <c r="C42" i="26"/>
  <c r="D42" i="26" s="1"/>
  <c r="C43" i="26"/>
  <c r="D43" i="26" s="1"/>
  <c r="C44" i="26"/>
  <c r="C45" i="26"/>
  <c r="D45" i="26" s="1"/>
  <c r="C46" i="26"/>
  <c r="C47" i="26"/>
  <c r="D47" i="26" s="1"/>
  <c r="C48" i="26"/>
  <c r="D48" i="26" s="1"/>
  <c r="C49" i="26"/>
  <c r="D49" i="26" s="1"/>
  <c r="C50" i="26"/>
  <c r="D50" i="26" s="1"/>
  <c r="C51" i="26"/>
  <c r="C52" i="26"/>
  <c r="C53" i="26"/>
  <c r="D53" i="26" s="1"/>
  <c r="C54" i="26"/>
  <c r="D54" i="26" s="1"/>
  <c r="C55" i="26"/>
  <c r="D55" i="26" s="1"/>
  <c r="C56" i="26"/>
  <c r="D56" i="26" s="1"/>
  <c r="C57" i="26"/>
  <c r="D57" i="26" s="1"/>
  <c r="C58" i="26"/>
  <c r="D58" i="26" s="1"/>
  <c r="C59" i="26"/>
  <c r="D59" i="26" s="1"/>
  <c r="C60" i="26"/>
  <c r="D60" i="26" s="1"/>
  <c r="C61" i="26"/>
  <c r="D61" i="26" s="1"/>
  <c r="C62" i="26"/>
  <c r="D62" i="26" s="1"/>
  <c r="C63" i="26"/>
  <c r="D63" i="26" s="1"/>
  <c r="C64" i="26"/>
  <c r="D64" i="26" s="1"/>
  <c r="C65" i="26"/>
  <c r="D65" i="26" s="1"/>
  <c r="C66" i="26"/>
  <c r="D66" i="26" s="1"/>
  <c r="C67" i="26"/>
  <c r="D67" i="26" s="1"/>
  <c r="C68" i="26"/>
  <c r="D68" i="26" s="1"/>
  <c r="C69" i="26"/>
  <c r="D69" i="26" s="1"/>
  <c r="C70" i="26"/>
  <c r="D70" i="26" s="1"/>
  <c r="C71" i="26"/>
  <c r="D71" i="26" s="1"/>
  <c r="C72" i="26"/>
  <c r="D72" i="26" s="1"/>
  <c r="C73" i="26"/>
  <c r="D73" i="26" s="1"/>
  <c r="C74" i="26"/>
  <c r="D74" i="26" s="1"/>
  <c r="C75" i="26"/>
  <c r="D75" i="26" s="1"/>
  <c r="C76" i="26"/>
  <c r="D76" i="26" s="1"/>
  <c r="C77" i="26"/>
  <c r="D77" i="26" s="1"/>
  <c r="C78" i="26"/>
  <c r="D78" i="26" s="1"/>
  <c r="C79" i="26"/>
  <c r="D79" i="26" s="1"/>
  <c r="C80" i="26"/>
  <c r="D80" i="26" s="1"/>
  <c r="C81" i="26"/>
  <c r="D81" i="26" s="1"/>
  <c r="C82" i="26"/>
  <c r="D82" i="26" s="1"/>
  <c r="C83" i="26"/>
  <c r="D83" i="26" s="1"/>
  <c r="C84" i="26"/>
  <c r="D84" i="26" s="1"/>
  <c r="C85" i="26"/>
  <c r="D85" i="26" s="1"/>
  <c r="C86" i="26"/>
  <c r="D86" i="26" s="1"/>
  <c r="C87" i="26"/>
  <c r="D87" i="26" s="1"/>
  <c r="C88" i="26"/>
  <c r="D88" i="26" s="1"/>
  <c r="C89" i="26"/>
  <c r="D89" i="26" s="1"/>
  <c r="C90" i="26"/>
  <c r="D90" i="26" s="1"/>
  <c r="C91" i="26"/>
  <c r="D91" i="26" s="1"/>
  <c r="C92" i="26"/>
  <c r="D92" i="26" s="1"/>
  <c r="C93" i="26"/>
  <c r="D93" i="26" s="1"/>
  <c r="C94" i="26"/>
  <c r="D94" i="26" s="1"/>
  <c r="C95" i="26"/>
  <c r="D95" i="26" s="1"/>
  <c r="C96" i="26"/>
  <c r="D96" i="26" s="1"/>
  <c r="C97" i="26"/>
  <c r="D97" i="26" s="1"/>
  <c r="C98" i="26"/>
  <c r="D98" i="26" s="1"/>
  <c r="C99" i="26"/>
  <c r="D99" i="26" s="1"/>
  <c r="C100" i="26"/>
  <c r="D100" i="26" s="1"/>
  <c r="C2" i="26"/>
  <c r="D2" i="26" s="1"/>
  <c r="D3" i="26"/>
  <c r="D4" i="26"/>
  <c r="D5" i="26"/>
  <c r="D8" i="26"/>
  <c r="D11" i="26"/>
  <c r="D12" i="26"/>
  <c r="D19" i="26"/>
  <c r="D20" i="26"/>
  <c r="D24" i="26"/>
  <c r="D26" i="26"/>
  <c r="D29" i="26"/>
  <c r="D36" i="26"/>
  <c r="D37" i="26"/>
  <c r="D44" i="26"/>
  <c r="D46" i="26"/>
  <c r="D51" i="26"/>
  <c r="D52" i="26"/>
  <c r="K22" i="26"/>
  <c r="K23" i="26"/>
  <c r="K32" i="26"/>
  <c r="K40" i="26"/>
  <c r="K48" i="26"/>
  <c r="K56" i="26"/>
  <c r="K19" i="26"/>
  <c r="K16" i="26"/>
  <c r="K15" i="26"/>
  <c r="K11" i="26"/>
  <c r="K7" i="26"/>
  <c r="K3" i="26"/>
  <c r="K4" i="26"/>
  <c r="K5" i="26"/>
  <c r="K6" i="26"/>
  <c r="K8" i="26"/>
  <c r="K9" i="26"/>
  <c r="K10" i="26"/>
  <c r="K12" i="26"/>
  <c r="K13" i="26"/>
  <c r="K14" i="26"/>
  <c r="K17" i="26"/>
  <c r="K18" i="26"/>
  <c r="K20" i="26"/>
  <c r="K21" i="26"/>
  <c r="K24" i="26"/>
  <c r="K25" i="26"/>
  <c r="K26" i="26"/>
  <c r="K27" i="26"/>
  <c r="K28" i="26"/>
  <c r="K29" i="26"/>
  <c r="K30" i="26"/>
  <c r="K31" i="26"/>
  <c r="K33" i="26"/>
  <c r="K34" i="26"/>
  <c r="K35" i="26"/>
  <c r="K36" i="26"/>
  <c r="K37" i="26"/>
  <c r="K38" i="26"/>
  <c r="K39" i="26"/>
  <c r="K41" i="26"/>
  <c r="K42" i="26"/>
  <c r="K43" i="26"/>
  <c r="K44" i="26"/>
  <c r="K45" i="26"/>
  <c r="K46" i="26"/>
  <c r="K47" i="26"/>
  <c r="K49" i="26"/>
  <c r="K50" i="26"/>
  <c r="K51" i="26"/>
  <c r="K52" i="26"/>
  <c r="K53" i="26"/>
  <c r="K54" i="26"/>
  <c r="K55" i="26"/>
  <c r="K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646898-84C8-4F1D-8FF1-088F4B5349B4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05316ABD-94A3-4AC2-815B-AEFEBD38CC60}" keepAlive="1" name="Query - Page002" description="Connection to the 'Page002' query in the workbook." type="5" refreshedVersion="0" background="1" saveData="1">
    <dbPr connection="Provider=Microsoft.Mashup.OleDb.1;Data Source=$Workbook$;Location=Page002;Extended Properties=&quot;&quot;" command="SELECT * FROM [Page002]"/>
  </connection>
  <connection id="3" xr16:uid="{18C6D2AA-C0DD-4062-8F4C-FE8636A5B380}" keepAlive="1" name="Query - Page003" description="Connection to the 'Page003' query in the workbook." type="5" refreshedVersion="0" background="1" saveData="1">
    <dbPr connection="Provider=Microsoft.Mashup.OleDb.1;Data Source=$Workbook$;Location=Page003;Extended Properties=&quot;&quot;" command="SELECT * FROM [Page003]"/>
  </connection>
  <connection id="4" xr16:uid="{78CB4947-6959-46F5-A058-CA9CAA670477}" keepAlive="1" name="Query - Table002 (Page 1-3)" description="Connection to the 'Table002 (Page 1-3)' query in the workbook." type="5" refreshedVersion="0" background="1" saveData="1">
    <dbPr connection="Provider=Microsoft.Mashup.OleDb.1;Data Source=$Workbook$;Location=&quot;Table002 (Page 1-3)&quot;;Extended Properties=&quot;&quot;" command="SELECT * FROM [Table002 (Page 1-3)]"/>
  </connection>
</connections>
</file>

<file path=xl/sharedStrings.xml><?xml version="1.0" encoding="utf-8"?>
<sst xmlns="http://schemas.openxmlformats.org/spreadsheetml/2006/main" count="1482" uniqueCount="611">
  <si>
    <t>Wilfort Pty Ltd</t>
  </si>
  <si>
    <t>Natcomp Australia Super Fund</t>
  </si>
  <si>
    <t>Nicholas Lazaridis</t>
  </si>
  <si>
    <t>Viano Corporation Pty Ltd</t>
  </si>
  <si>
    <t>Leva Superannuation Fund</t>
  </si>
  <si>
    <t>JGB Super Fund</t>
  </si>
  <si>
    <t>Manujan Trust</t>
  </si>
  <si>
    <t>Katie Andrews</t>
  </si>
  <si>
    <t>RS Hunter Super Fund</t>
  </si>
  <si>
    <t>Macourt Family Foundation</t>
  </si>
  <si>
    <t>Bernie Family Trust</t>
  </si>
  <si>
    <t>Dean Gardiner</t>
  </si>
  <si>
    <t>KEB Pension Fund</t>
  </si>
  <si>
    <t>Stevenson Computer Super Fund</t>
  </si>
  <si>
    <t>Keith Family Super Fund</t>
  </si>
  <si>
    <t>Amagis Family Super Fund</t>
  </si>
  <si>
    <t>Barry Verinder</t>
  </si>
  <si>
    <t>Lavin Trust</t>
  </si>
  <si>
    <t>Petrevski Super Fund</t>
  </si>
  <si>
    <t>Vincent and Laurette Refalo</t>
  </si>
  <si>
    <t>Paul Dunn</t>
  </si>
  <si>
    <t>Salvatore Roppolo</t>
  </si>
  <si>
    <t>Sura Kandirian (Interest)</t>
  </si>
  <si>
    <t>Shannan Whitney Super Fund</t>
  </si>
  <si>
    <t>Reynolds Family Trust</t>
  </si>
  <si>
    <t>Silvana Koren</t>
  </si>
  <si>
    <t>Sally Skoufis Trust</t>
  </si>
  <si>
    <t>Paul Swann</t>
  </si>
  <si>
    <t>Holgate Trust</t>
  </si>
  <si>
    <t>Marigold Pennefather</t>
  </si>
  <si>
    <t>Adam Ritson</t>
  </si>
  <si>
    <t>Gianna Swadling</t>
  </si>
  <si>
    <t>Darling Super Fund</t>
  </si>
  <si>
    <t>Marnie Dawson</t>
  </si>
  <si>
    <t>Blue Arcadia Pty Ltd</t>
  </si>
  <si>
    <t>Nicole Dunn</t>
  </si>
  <si>
    <t>Gatcorp Super Fund</t>
  </si>
  <si>
    <t>Anica Holgate</t>
  </si>
  <si>
    <t>Carol James</t>
  </si>
  <si>
    <t>William and Caroline Stevenson</t>
  </si>
  <si>
    <t>5114 Pty Ltd</t>
  </si>
  <si>
    <t>Julian Ludowici</t>
  </si>
  <si>
    <t>Selina Swadling</t>
  </si>
  <si>
    <t>Thrumster One Pty Ltd</t>
  </si>
  <si>
    <t>PDV Holdings Pty Ltd</t>
  </si>
  <si>
    <t>David Charles Macourt</t>
  </si>
  <si>
    <t>DCRM No 2 Super Fund</t>
  </si>
  <si>
    <t>MLM Family Legacy Trust</t>
  </si>
  <si>
    <t>Jennifer Lugsdin</t>
  </si>
  <si>
    <t>Lynne Bissett</t>
  </si>
  <si>
    <t>Biset Holdings Pty Ltd</t>
  </si>
  <si>
    <t>With bank details in contacts?</t>
  </si>
  <si>
    <t>Nomad Nominees Pty Ltd ATF Ray Superannuation Fund</t>
  </si>
  <si>
    <t>Magda Macourt Pty Ltd ATF Megda &amp; Kristina Macourt Family Trust</t>
  </si>
  <si>
    <t>Khameleon Enterprises Pty Ltd ATF Renaud Super Fund</t>
  </si>
  <si>
    <t>H &amp; G Alameddine Family Trust</t>
  </si>
  <si>
    <t>Leva Super Pty Ltd ATF Leva Superannuation Fund</t>
  </si>
  <si>
    <t>Natcomp Technology Australia Superannuation Fund</t>
  </si>
  <si>
    <t>John Barnett Nominees Pty Ltd ATF JGB Superannunation Fund</t>
  </si>
  <si>
    <t>KEB Nominees Pty Ltd ATF KEB Pension Fund</t>
  </si>
  <si>
    <t>Manujan Pty Ltd ATF Manujan Trust</t>
  </si>
  <si>
    <t>Katy Andrews</t>
  </si>
  <si>
    <t>YDNA Super Pty Ltd ATF Andy &amp; Karen Super fund</t>
  </si>
  <si>
    <t>Hunter Brunelle Nominees Pty Ltd RS Hunter Superannunation Fund</t>
  </si>
  <si>
    <t>Macourt Family Pty Ltd ATF Macourt Family Foundation</t>
  </si>
  <si>
    <t>JELPSS Pty Ltd ATF Bernie Family Trust</t>
  </si>
  <si>
    <t>Florio Investments</t>
  </si>
  <si>
    <t>JELPSS Pty Ltd ATF Bernie Family Trust No 2 Account</t>
  </si>
  <si>
    <t>Stevenson Computer Services Staff Superannuation Fund</t>
  </si>
  <si>
    <t>J &amp; M Chan Pty Ltd ATF Chan Family Pension Fund</t>
  </si>
  <si>
    <t>MWLD Super Fund</t>
  </si>
  <si>
    <t>Locaputo Super Fund</t>
  </si>
  <si>
    <t>Petrevski &amp; Co Pty Ltd ATF Petrevski Super Fund</t>
  </si>
  <si>
    <t>Vincent &amp; Laurette Refalo</t>
  </si>
  <si>
    <t>Julio Labraga</t>
  </si>
  <si>
    <t>Giuseppe &amp; Rosemary Musico</t>
  </si>
  <si>
    <t>Allicante Pty Ltd ATF Shannan Whitney Superannuation Fund</t>
  </si>
  <si>
    <t>Sally Skoufis Pty Ltd ATF Sally Skoufis Trust</t>
  </si>
  <si>
    <t>The Holgate Trust</t>
  </si>
  <si>
    <t>Darling Pty Ltd ATF Darling Super Fund</t>
  </si>
  <si>
    <t>Marlhan Family Trust</t>
  </si>
  <si>
    <t>Fletcher #2 Family Trust</t>
  </si>
  <si>
    <t>Gatcorp Super Fund Pty Ltd ATF Gatcorp Superannuation Fund</t>
  </si>
  <si>
    <t>Encina Trust</t>
  </si>
  <si>
    <t>Shannan Whitney</t>
  </si>
  <si>
    <t>W &amp; CE Stevenson</t>
  </si>
  <si>
    <t>G &amp; R Musico Services Pty Ltd ATF G &amp; R Musico Super Fund</t>
  </si>
  <si>
    <t>Giuseppe Musico</t>
  </si>
  <si>
    <t>PDV Holding Pty Ltd</t>
  </si>
  <si>
    <t>Macourt Children Settlement</t>
  </si>
  <si>
    <t>M &amp; K Macourt Family Trust</t>
  </si>
  <si>
    <t>DCRM No.2 Super Fund</t>
  </si>
  <si>
    <t>AKR Investments (NSW) Pty Ltd ATF The Andrew Rennie Family Trust</t>
  </si>
  <si>
    <t>MLM Legacy PL ATF MLM Family Legacy Trust</t>
  </si>
  <si>
    <t>Biset Holdings Pty Ltd ATF Kelf &amp; Tactum Superannuation Fund</t>
  </si>
  <si>
    <t>Amagis Family Trust</t>
  </si>
  <si>
    <t>Blue Pac Super Pty Ltd ATF Blue Pac Superannuation Fund</t>
  </si>
  <si>
    <t>AGVJ Family Trust</t>
  </si>
  <si>
    <t>Melissa Ball</t>
  </si>
  <si>
    <t>IT Contracting Services Pty Ltd ATF Zabow Superannuation Fund</t>
  </si>
  <si>
    <t>Principal Paid</t>
  </si>
  <si>
    <t>G &amp; R Musico Services</t>
  </si>
  <si>
    <t>AKR Investments (NSW)</t>
  </si>
  <si>
    <t>Expertiy Capital II AT</t>
  </si>
  <si>
    <t>KN REYNOLDS FAMILY PTY LTD</t>
  </si>
  <si>
    <t>D &amp; E Dusevic</t>
  </si>
  <si>
    <t>Stuart McKinlay</t>
  </si>
  <si>
    <t>Interest Paid</t>
  </si>
  <si>
    <t>Earlwood Orthodontics</t>
  </si>
  <si>
    <t>Xero Contacts</t>
  </si>
  <si>
    <t>Are You Happy Investments Pty Ltd</t>
  </si>
  <si>
    <t>Sura Kandirian</t>
  </si>
  <si>
    <t>Pay Amount</t>
  </si>
  <si>
    <t>Jersey Lane Trust</t>
  </si>
  <si>
    <t>S Nav Pty Ltd</t>
  </si>
  <si>
    <t>Predad Pty Ltd ATF W J Smith Superannuation Fund</t>
  </si>
  <si>
    <t>The Verinder Family Trust</t>
  </si>
  <si>
    <t>Investor</t>
  </si>
  <si>
    <t>Viano Corporation Pty Ltd account no. 2</t>
  </si>
  <si>
    <t>Navarra Enterprises Pty Ltd</t>
  </si>
  <si>
    <t>Blue Street Finance Pty Ltd</t>
  </si>
  <si>
    <t>Viano Corporation Pty Ltd DLOT</t>
  </si>
  <si>
    <t>S Nav Pty Ltd DLOT</t>
  </si>
  <si>
    <t>Adorben Superannuation Fund</t>
  </si>
  <si>
    <t>BDH Superannuation Fund</t>
  </si>
  <si>
    <t>Kaufline Family Super Fund</t>
  </si>
  <si>
    <t>Grant Pudig</t>
  </si>
  <si>
    <t>Winyard Superannuation Fund</t>
  </si>
  <si>
    <t>4th Floor Office Pty Ltd ATF 4th Floor Trust</t>
  </si>
  <si>
    <t>Fabio Grassia and Moni</t>
  </si>
  <si>
    <t>The Verinder Superannuation Fund</t>
  </si>
  <si>
    <t>Dr Zita Ballok</t>
  </si>
  <si>
    <t>Janet Cecilie Smith</t>
  </si>
  <si>
    <t>John and Kerrie Barnett</t>
  </si>
  <si>
    <t>Dovile Fraser</t>
  </si>
  <si>
    <t>Yartvest Pty Ltd</t>
  </si>
  <si>
    <t>Richard Telleria</t>
  </si>
  <si>
    <t>Eleanor Spano</t>
  </si>
  <si>
    <t>BSB</t>
  </si>
  <si>
    <t>Bank Account</t>
  </si>
  <si>
    <t>032267</t>
  </si>
  <si>
    <t>436344</t>
  </si>
  <si>
    <t>RAY Super Fund</t>
  </si>
  <si>
    <t>Renaud Superfund</t>
  </si>
  <si>
    <t>182512</t>
  </si>
  <si>
    <t>Are You Happy Investme</t>
  </si>
  <si>
    <t>032067</t>
  </si>
  <si>
    <t>701393</t>
  </si>
  <si>
    <t>Viano Corporation Pty</t>
  </si>
  <si>
    <t>012291</t>
  </si>
  <si>
    <t>282250074</t>
  </si>
  <si>
    <t>Natcomp Australia Supe</t>
  </si>
  <si>
    <t>399498305</t>
  </si>
  <si>
    <t>182222</t>
  </si>
  <si>
    <t>062000</t>
  </si>
  <si>
    <t>19265988</t>
  </si>
  <si>
    <t>963324603</t>
  </si>
  <si>
    <t>Macourt Family Foundat</t>
  </si>
  <si>
    <t>062005</t>
  </si>
  <si>
    <t>11346894</t>
  </si>
  <si>
    <t>Marie Florio</t>
  </si>
  <si>
    <t>062265</t>
  </si>
  <si>
    <t>10520606</t>
  </si>
  <si>
    <t>812170</t>
  </si>
  <si>
    <t>012406</t>
  </si>
  <si>
    <t>327553192</t>
  </si>
  <si>
    <t>012390</t>
  </si>
  <si>
    <t>476386076</t>
  </si>
  <si>
    <t>062140</t>
  </si>
  <si>
    <t>Julio Cesar Labraga</t>
  </si>
  <si>
    <t>182182</t>
  </si>
  <si>
    <t>Giuseppe and Rosemary</t>
  </si>
  <si>
    <t>062223</t>
  </si>
  <si>
    <t>11034746</t>
  </si>
  <si>
    <t>Sura Kandarian</t>
  </si>
  <si>
    <t>923100</t>
  </si>
  <si>
    <t>306845590</t>
  </si>
  <si>
    <t>KN REYNOLDS FAMILY PTY</t>
  </si>
  <si>
    <t>971569421</t>
  </si>
  <si>
    <t>732143</t>
  </si>
  <si>
    <t>543946</t>
  </si>
  <si>
    <t>032536</t>
  </si>
  <si>
    <t>108761</t>
  </si>
  <si>
    <t>082067</t>
  </si>
  <si>
    <t>667632700</t>
  </si>
  <si>
    <t>332003</t>
  </si>
  <si>
    <t>553544235</t>
  </si>
  <si>
    <t>062243</t>
  </si>
  <si>
    <t>10250796</t>
  </si>
  <si>
    <t>Fletcher #2 Family Tru</t>
  </si>
  <si>
    <t>064127</t>
  </si>
  <si>
    <t>10497155</t>
  </si>
  <si>
    <t>10364813</t>
  </si>
  <si>
    <t>554318694</t>
  </si>
  <si>
    <t>Shannan Whitney &amp; Juli</t>
  </si>
  <si>
    <t>231125147</t>
  </si>
  <si>
    <t>733089</t>
  </si>
  <si>
    <t>728345</t>
  </si>
  <si>
    <t>112879</t>
  </si>
  <si>
    <t>145800</t>
  </si>
  <si>
    <t>966442675</t>
  </si>
  <si>
    <t>082057</t>
  </si>
  <si>
    <t>599195456</t>
  </si>
  <si>
    <t>11523910</t>
  </si>
  <si>
    <t>418887745</t>
  </si>
  <si>
    <t>Macourt Children Settl</t>
  </si>
  <si>
    <t>062016</t>
  </si>
  <si>
    <t>28045002</t>
  </si>
  <si>
    <t>082001</t>
  </si>
  <si>
    <t>235768073</t>
  </si>
  <si>
    <t>633000</t>
  </si>
  <si>
    <t>111039095</t>
  </si>
  <si>
    <t>082080</t>
  </si>
  <si>
    <t>944770176</t>
  </si>
  <si>
    <t>Blue Pac Super Pty Ltd</t>
  </si>
  <si>
    <t>969313683</t>
  </si>
  <si>
    <t>062033</t>
  </si>
  <si>
    <t>10897263</t>
  </si>
  <si>
    <t>105506083</t>
  </si>
  <si>
    <t>Predad Pty Ltd ATF W J</t>
  </si>
  <si>
    <t>Adorben Pty Limited AT</t>
  </si>
  <si>
    <t>295421696</t>
  </si>
  <si>
    <t>Kaufline Superannuatio</t>
  </si>
  <si>
    <t>082762</t>
  </si>
  <si>
    <t>756279259</t>
  </si>
  <si>
    <t>BDH Superannuation Fun</t>
  </si>
  <si>
    <t>961043726</t>
  </si>
  <si>
    <t>732036</t>
  </si>
  <si>
    <t>740661</t>
  </si>
  <si>
    <t>Winyard Superannuation</t>
  </si>
  <si>
    <t>067167</t>
  </si>
  <si>
    <t>17851922</t>
  </si>
  <si>
    <t>4th Floor Office Pty L</t>
  </si>
  <si>
    <t>082356</t>
  </si>
  <si>
    <t>920007723</t>
  </si>
  <si>
    <t>J Smith</t>
  </si>
  <si>
    <t>7350982</t>
  </si>
  <si>
    <t>John Graham Barnet</t>
  </si>
  <si>
    <t>082476</t>
  </si>
  <si>
    <t>825512924</t>
  </si>
  <si>
    <t>J &amp; M Chan Pty Ltd ATF</t>
  </si>
  <si>
    <t>732083</t>
  </si>
  <si>
    <t>628517</t>
  </si>
  <si>
    <t>Yarvest Pty Ltd</t>
  </si>
  <si>
    <t>032075</t>
  </si>
  <si>
    <t>457968</t>
  </si>
  <si>
    <t>438684822</t>
  </si>
  <si>
    <t>Experity</t>
  </si>
  <si>
    <t>TY OZ PTY LTD ATF TY OZ Trust</t>
  </si>
  <si>
    <t>Edward Cassidy</t>
  </si>
  <si>
    <t>Longroup Investments Pty Ltd</t>
  </si>
  <si>
    <t>Barry and Fiona Donnelly</t>
  </si>
  <si>
    <t>Danae No.1 Family Trust</t>
  </si>
  <si>
    <t>Edward P Cassidy</t>
  </si>
  <si>
    <t>Zabow Superannuation Fund</t>
  </si>
  <si>
    <t>Bernie Family Trust No 2</t>
  </si>
  <si>
    <t>LON Investments</t>
  </si>
  <si>
    <t>112-879105506083</t>
  </si>
  <si>
    <t>MWLD SMSF</t>
  </si>
  <si>
    <t>Sal &amp; Silvia Navarra</t>
  </si>
  <si>
    <t>Shannan Whitney and Juliet</t>
  </si>
  <si>
    <t>Spalding Group Pty Ltd</t>
  </si>
  <si>
    <t>TY OZ PTY LTD</t>
  </si>
  <si>
    <t>Andy &amp; Karen Super Fund</t>
  </si>
  <si>
    <t>062009 11072896</t>
  </si>
  <si>
    <t>Bank Account Number</t>
  </si>
  <si>
    <t>Payee/Payor Name</t>
  </si>
  <si>
    <t>Transaction</t>
  </si>
  <si>
    <t>20530857</t>
  </si>
  <si>
    <t>966505943</t>
  </si>
  <si>
    <t>128413</t>
  </si>
  <si>
    <t>TY OZ PTY LTD ATF TY O</t>
  </si>
  <si>
    <t>033364</t>
  </si>
  <si>
    <t>015140</t>
  </si>
  <si>
    <t>082356920007723</t>
  </si>
  <si>
    <t>182512966442675</t>
  </si>
  <si>
    <t>082067667632700</t>
  </si>
  <si>
    <t>182222121972640</t>
  </si>
  <si>
    <t>082001235768073</t>
  </si>
  <si>
    <t>082080944770176</t>
  </si>
  <si>
    <t>032067701393</t>
  </si>
  <si>
    <t>182512961043726</t>
  </si>
  <si>
    <t>06224310250796</t>
  </si>
  <si>
    <t>182512969313683</t>
  </si>
  <si>
    <t>733089728345</t>
  </si>
  <si>
    <t>332003553544235</t>
  </si>
  <si>
    <t>06201628045002</t>
  </si>
  <si>
    <t>732083628517</t>
  </si>
  <si>
    <t>06203310897263</t>
  </si>
  <si>
    <t>112879438684822</t>
  </si>
  <si>
    <t>012291295421696</t>
  </si>
  <si>
    <t>06412710497155</t>
  </si>
  <si>
    <t>06222311523910</t>
  </si>
  <si>
    <t>332003554318694</t>
  </si>
  <si>
    <t>06222311034746</t>
  </si>
  <si>
    <t>732036740661</t>
  </si>
  <si>
    <t>732143543946</t>
  </si>
  <si>
    <t>012406327553192</t>
  </si>
  <si>
    <t>8121707350982</t>
  </si>
  <si>
    <t>06200020530857</t>
  </si>
  <si>
    <t>082476825512924</t>
  </si>
  <si>
    <t>082057599195456</t>
  </si>
  <si>
    <t>082762756279259</t>
  </si>
  <si>
    <t>182512971569421</t>
  </si>
  <si>
    <t>012390476386076</t>
  </si>
  <si>
    <t>633000111039095</t>
  </si>
  <si>
    <t/>
  </si>
  <si>
    <t>06200511346894</t>
  </si>
  <si>
    <t>06200019265988</t>
  </si>
  <si>
    <t>06226510520606</t>
  </si>
  <si>
    <t>032536108761</t>
  </si>
  <si>
    <t>112879105506083</t>
  </si>
  <si>
    <t>182512966505943</t>
  </si>
  <si>
    <t>012291399498305</t>
  </si>
  <si>
    <t>06214010364813</t>
  </si>
  <si>
    <t>082057418887745</t>
  </si>
  <si>
    <t>182182128413</t>
  </si>
  <si>
    <t>182512963324603</t>
  </si>
  <si>
    <t>182222231125147</t>
  </si>
  <si>
    <t>923100306845590</t>
  </si>
  <si>
    <t>033364015140</t>
  </si>
  <si>
    <t>012291282250074</t>
  </si>
  <si>
    <t>812170145800</t>
  </si>
  <si>
    <t>032267436344</t>
  </si>
  <si>
    <t>06716717851922</t>
  </si>
  <si>
    <t>032075457968</t>
  </si>
  <si>
    <t>Charlotte Taylor</t>
  </si>
  <si>
    <t>ACN 161 604 315 Pty Ltd</t>
  </si>
  <si>
    <t>From Mortgage Pool Distribution Audit Report CPDF</t>
  </si>
  <si>
    <t>From Mortgage Pool Distribution Audit Report DLOT</t>
  </si>
  <si>
    <t>From Mortgage Pool Distribution Audit Report DLOT#2</t>
  </si>
  <si>
    <r>
      <rPr>
        <b/>
        <sz val="8"/>
        <rFont val="Arial"/>
        <family val="2"/>
      </rPr>
      <t>Mortgage Pool:</t>
    </r>
  </si>
  <si>
    <r>
      <rPr>
        <sz val="8"/>
        <rFont val="Arial"/>
        <family val="2"/>
      </rPr>
      <t>1001-CPDF</t>
    </r>
  </si>
  <si>
    <r>
      <rPr>
        <b/>
        <sz val="8"/>
        <rFont val="Arial"/>
        <family val="2"/>
      </rPr>
      <t>Total Amount of Distribution:</t>
    </r>
  </si>
  <si>
    <r>
      <rPr>
        <b/>
        <sz val="8"/>
        <rFont val="Arial"/>
        <family val="2"/>
      </rPr>
      <t>Bank Account:</t>
    </r>
  </si>
  <si>
    <r>
      <rPr>
        <sz val="8"/>
        <rFont val="Arial"/>
        <family val="2"/>
      </rPr>
      <t>CPDF</t>
    </r>
  </si>
  <si>
    <r>
      <rPr>
        <b/>
        <sz val="8"/>
        <rFont val="Arial"/>
        <family val="2"/>
      </rPr>
      <t>Total Interest Paid:</t>
    </r>
  </si>
  <si>
    <r>
      <rPr>
        <b/>
        <sz val="8"/>
        <rFont val="Arial"/>
        <family val="2"/>
      </rPr>
      <t>Distribution Date:</t>
    </r>
  </si>
  <si>
    <r>
      <rPr>
        <b/>
        <sz val="8"/>
        <rFont val="Arial"/>
        <family val="2"/>
      </rPr>
      <t>Total Principal Paid:</t>
    </r>
  </si>
  <si>
    <r>
      <rPr>
        <b/>
        <sz val="8"/>
        <rFont val="Arial"/>
        <family val="2"/>
      </rPr>
      <t>Total Principal Rollover</t>
    </r>
  </si>
  <si>
    <r>
      <rPr>
        <b/>
        <sz val="8"/>
        <rFont val="Arial"/>
        <family val="2"/>
      </rPr>
      <t>Certificate Number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</si>
  <si>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</si>
  <si>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Pay Amount</t>
    </r>
  </si>
  <si>
    <r>
      <rPr>
        <b/>
        <sz val="8"/>
        <rFont val="Arial"/>
        <family val="2"/>
      </rPr>
      <t>Interest Paid</t>
    </r>
  </si>
  <si>
    <r>
      <rPr>
        <b/>
        <sz val="8"/>
        <rFont val="Arial"/>
        <family val="2"/>
      </rPr>
      <t>Principal Paid</t>
    </r>
  </si>
  <si>
    <r>
      <rPr>
        <b/>
        <sz val="8"/>
        <rFont val="Arial"/>
        <family val="2"/>
      </rPr>
      <t>Principal Rollover</t>
    </r>
  </si>
  <si>
    <r>
      <rPr>
        <b/>
        <sz val="8"/>
        <rFont val="Arial"/>
        <family val="2"/>
      </rPr>
      <t>ACH</t>
    </r>
  </si>
  <si>
    <r>
      <rPr>
        <sz val="8"/>
        <rFont val="Arial"/>
        <family val="2"/>
      </rPr>
      <t>Distribution through 30/04/2024</t>
    </r>
  </si>
  <si>
    <r>
      <rPr>
        <sz val="8"/>
        <rFont val="Arial"/>
        <family val="2"/>
      </rPr>
      <t>1003                 Wilfort Pty Ltd</t>
    </r>
  </si>
  <si>
    <r>
      <rPr>
        <sz val="8"/>
        <rFont val="Arial"/>
        <family val="2"/>
      </rPr>
      <t>1004                 Nomad</t>
    </r>
  </si>
  <si>
    <r>
      <rPr>
        <sz val="8"/>
        <rFont val="Arial"/>
        <family val="2"/>
      </rPr>
      <t>Nominees Pty Ltd ATF Ray Superannuation Fund</t>
    </r>
  </si>
  <si>
    <r>
      <rPr>
        <sz val="8"/>
        <rFont val="Arial"/>
        <family val="2"/>
      </rPr>
      <t>1006                 Nicholas Lazaridis</t>
    </r>
  </si>
  <si>
    <r>
      <rPr>
        <sz val="8"/>
        <rFont val="Arial"/>
        <family val="2"/>
      </rPr>
      <t>Khameleon Enterprises Pty Ltd ATF Renaud Super Fund</t>
    </r>
  </si>
  <si>
    <r>
      <rPr>
        <sz val="8"/>
        <rFont val="Arial"/>
        <family val="2"/>
      </rPr>
      <t>Distribution from 07/04/2024 through 30/04/202</t>
    </r>
  </si>
  <si>
    <r>
      <rPr>
        <sz val="8"/>
        <rFont val="Arial"/>
        <family val="2"/>
      </rPr>
      <t>1010                 H &amp; G Alameddine Family Trust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</si>
  <si>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1063</t>
    </r>
  </si>
  <si>
    <r>
      <rPr>
        <b/>
        <sz val="8"/>
        <rFont val="Arial"/>
        <family val="2"/>
      </rPr>
      <t xml:space="preserve">Description
</t>
    </r>
    <r>
      <rPr>
        <sz val="8"/>
        <rFont val="Arial"/>
        <family val="2"/>
      </rPr>
      <t>Distribution through 30/04/2024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</si>
  <si>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$986.30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</si>
  <si>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$986.30</t>
    </r>
  </si>
  <si>
    <r>
      <rPr>
        <b/>
        <sz val="8"/>
        <rFont val="Arial"/>
        <family val="2"/>
      </rPr>
      <t xml:space="preserve">Principal Paid
</t>
    </r>
    <r>
      <rPr>
        <sz val="8"/>
        <rFont val="Arial"/>
        <family val="2"/>
      </rPr>
      <t>$0.00</t>
    </r>
  </si>
  <si>
    <r>
      <rPr>
        <b/>
        <sz val="8"/>
        <rFont val="Arial"/>
        <family val="2"/>
      </rPr>
      <t xml:space="preserve">Principal Rollover
</t>
    </r>
    <r>
      <rPr>
        <sz val="8"/>
        <rFont val="Arial"/>
        <family val="2"/>
      </rPr>
      <t>$0.00</t>
    </r>
  </si>
  <si>
    <r>
      <rPr>
        <sz val="8"/>
        <rFont val="Arial"/>
        <family val="2"/>
      </rPr>
      <t>Viano Corporation Pty Ltd</t>
    </r>
  </si>
  <si>
    <r>
      <rPr>
        <sz val="8"/>
        <rFont val="Arial"/>
        <family val="2"/>
      </rPr>
      <t>1012                 Leva</t>
    </r>
  </si>
  <si>
    <r>
      <rPr>
        <sz val="8"/>
        <rFont val="Arial"/>
        <family val="2"/>
      </rPr>
      <t>Super Pty Ltd ATF Leva Superannuation Fund</t>
    </r>
  </si>
  <si>
    <r>
      <rPr>
        <sz val="8"/>
        <rFont val="Arial"/>
        <family val="2"/>
      </rPr>
      <t>1013                 Natcomp Technology Australia Superannuation Fund</t>
    </r>
  </si>
  <si>
    <r>
      <rPr>
        <b/>
        <sz val="8"/>
        <rFont val="Arial"/>
        <family val="2"/>
      </rPr>
      <t xml:space="preserve">Certificate
</t>
    </r>
    <r>
      <rPr>
        <b/>
        <vertAlign val="superscript"/>
        <sz val="8"/>
        <rFont val="Arial"/>
        <family val="2"/>
      </rPr>
      <t xml:space="preserve">Number                                      </t>
    </r>
    <r>
      <rPr>
        <b/>
        <sz val="8"/>
        <rFont val="Arial"/>
        <family val="2"/>
      </rPr>
      <t>Description</t>
    </r>
  </si>
  <si>
    <r>
      <rPr>
        <sz val="8"/>
        <rFont val="Arial"/>
        <family val="2"/>
      </rPr>
      <t>1080                        Distribution through 30/04/2024</t>
    </r>
  </si>
  <si>
    <r>
      <rPr>
        <sz val="8"/>
        <rFont val="Arial"/>
        <family val="2"/>
      </rPr>
      <t>1014                 John Barnett Nominees Pty Ltd ATF JGB Superannunation</t>
    </r>
  </si>
  <si>
    <r>
      <rPr>
        <sz val="8"/>
        <rFont val="Arial"/>
        <family val="2"/>
      </rPr>
      <t>Fund</t>
    </r>
  </si>
  <si>
    <r>
      <rPr>
        <sz val="8"/>
        <rFont val="Arial"/>
        <family val="2"/>
      </rPr>
      <t>1081                        Distribution through 30/04/2024</t>
    </r>
  </si>
  <si>
    <r>
      <rPr>
        <sz val="8"/>
        <rFont val="Arial"/>
        <family val="2"/>
      </rPr>
      <t>1083                        Distribution through 30/04/2024</t>
    </r>
  </si>
  <si>
    <r>
      <rPr>
        <sz val="8"/>
        <rFont val="Arial"/>
        <family val="2"/>
      </rPr>
      <t>1017                 Manujan Pty Ltd ATF Manujan Trust</t>
    </r>
  </si>
  <si>
    <r>
      <rPr>
        <sz val="8"/>
        <rFont val="Arial"/>
        <family val="2"/>
      </rPr>
      <t>1087                        Distribution through 30/04/2024</t>
    </r>
  </si>
  <si>
    <r>
      <rPr>
        <sz val="8"/>
        <rFont val="Arial"/>
        <family val="2"/>
      </rPr>
      <t>1018                 Katy Andrews &amp; Daniel Andrews</t>
    </r>
  </si>
  <si>
    <r>
      <rPr>
        <sz val="8"/>
        <rFont val="Arial"/>
        <family val="2"/>
      </rPr>
      <t>1089                        Distribution through 30/04/2024</t>
    </r>
  </si>
  <si>
    <r>
      <rPr>
        <sz val="8"/>
        <rFont val="Arial"/>
        <family val="2"/>
      </rPr>
      <t>Katy Andrews</t>
    </r>
  </si>
  <si>
    <r>
      <rPr>
        <sz val="8"/>
        <rFont val="Arial"/>
        <family val="2"/>
      </rPr>
      <t>1022                 YDNA</t>
    </r>
  </si>
  <si>
    <r>
      <rPr>
        <sz val="8"/>
        <rFont val="Arial"/>
        <family val="2"/>
      </rPr>
      <t>Super Pty Ltd ATF Andy &amp; Karen Super fund</t>
    </r>
  </si>
  <si>
    <r>
      <rPr>
        <sz val="8"/>
        <rFont val="Arial"/>
        <family val="2"/>
      </rPr>
      <t>1022                 YDNA Super Pty Ltd ATF Andy &amp; Karen Super fund</t>
    </r>
  </si>
  <si>
    <r>
      <rPr>
        <sz val="8"/>
        <rFont val="Arial"/>
        <family val="2"/>
      </rPr>
      <t>1023                 Hunter Brunelle Nominees Pty Ltd RS Hunter Superannunation Fund</t>
    </r>
  </si>
  <si>
    <r>
      <rPr>
        <b/>
        <sz val="8"/>
        <rFont val="Arial"/>
        <family val="2"/>
      </rPr>
      <t xml:space="preserve">Certificate                                                                                                  Pay
</t>
    </r>
    <r>
      <rPr>
        <b/>
        <vertAlign val="superscript"/>
        <sz val="8"/>
        <rFont val="Arial"/>
        <family val="2"/>
      </rPr>
      <t xml:space="preserve">Number                                      </t>
    </r>
    <r>
      <rPr>
        <b/>
        <sz val="8"/>
        <rFont val="Arial"/>
        <family val="2"/>
      </rPr>
      <t xml:space="preserve">Description                                      </t>
    </r>
    <r>
      <rPr>
        <b/>
        <vertAlign val="superscript"/>
        <sz val="8"/>
        <rFont val="Arial"/>
        <family val="2"/>
      </rPr>
      <t>Amount</t>
    </r>
  </si>
  <si>
    <r>
      <rPr>
        <sz val="8"/>
        <rFont val="Arial"/>
        <family val="2"/>
      </rPr>
      <t>1093                        Distribution through 30/04/2024                                         $1,643.84</t>
    </r>
  </si>
  <si>
    <r>
      <rPr>
        <sz val="8"/>
        <rFont val="Arial"/>
        <family val="2"/>
      </rPr>
      <t>1024                 Macourt Family Pty Ltd ATF Macourt Family Foundation</t>
    </r>
  </si>
  <si>
    <r>
      <rPr>
        <sz val="8"/>
        <rFont val="Arial"/>
        <family val="2"/>
      </rPr>
      <t>1102                        Distribution through 30/04/2024                                         $1,578.08</t>
    </r>
  </si>
  <si>
    <r>
      <rPr>
        <sz val="8"/>
        <rFont val="Arial"/>
        <family val="2"/>
      </rPr>
      <t>1027                 JELPSS Pty Ltd ATF Bernie Family Trust</t>
    </r>
  </si>
  <si>
    <r>
      <rPr>
        <sz val="8"/>
        <rFont val="Arial"/>
        <family val="2"/>
      </rPr>
      <t>1097                        Distribution through 30/04/2024                                       $14,390.23</t>
    </r>
  </si>
  <si>
    <r>
      <rPr>
        <sz val="8"/>
        <rFont val="Arial"/>
        <family val="2"/>
      </rPr>
      <t>1112                        Distribution through 30/04/2024                                            $171.13</t>
    </r>
  </si>
  <si>
    <r>
      <rPr>
        <sz val="8"/>
        <rFont val="Arial"/>
        <family val="2"/>
      </rPr>
      <t>1201                        Distribution through 30/04/2024                                       $21,249.86</t>
    </r>
  </si>
  <si>
    <r>
      <rPr>
        <sz val="8"/>
        <rFont val="Arial"/>
        <family val="2"/>
      </rPr>
      <t>1247                        Distribution through 30/04/2024                                                $0.00</t>
    </r>
  </si>
  <si>
    <r>
      <rPr>
        <sz val="8"/>
        <rFont val="Arial"/>
        <family val="2"/>
      </rPr>
      <t>Dean Gardiner</t>
    </r>
  </si>
  <si>
    <r>
      <rPr>
        <sz val="8"/>
        <rFont val="Arial"/>
        <family val="2"/>
      </rPr>
      <t>1033                        Distribution through 30/04/2024</t>
    </r>
  </si>
  <si>
    <r>
      <rPr>
        <sz val="8"/>
        <rFont val="Arial"/>
        <family val="2"/>
      </rPr>
      <t>1050                        Distribution through 30/04/2024</t>
    </r>
  </si>
  <si>
    <r>
      <rPr>
        <sz val="8"/>
        <rFont val="Arial"/>
        <family val="2"/>
      </rPr>
      <t>1098                        Distribution through 30/04/2024</t>
    </r>
  </si>
  <si>
    <r>
      <rPr>
        <sz val="8"/>
        <rFont val="Arial"/>
        <family val="2"/>
      </rPr>
      <t>1133                        Distribution through 30/04/2024</t>
    </r>
  </si>
  <si>
    <r>
      <rPr>
        <sz val="8"/>
        <rFont val="Arial"/>
        <family val="2"/>
      </rPr>
      <t>1030                 Florio Investments</t>
    </r>
  </si>
  <si>
    <r>
      <rPr>
        <sz val="8"/>
        <rFont val="Arial"/>
        <family val="2"/>
      </rPr>
      <t>1099                        Distribution through 30/04/2024</t>
    </r>
  </si>
  <si>
    <r>
      <rPr>
        <sz val="8"/>
        <rFont val="Arial"/>
        <family val="2"/>
      </rPr>
      <t>1032                 Stevenson Computer Services Staff Superannuation Fund</t>
    </r>
  </si>
  <si>
    <r>
      <rPr>
        <sz val="8"/>
        <rFont val="Arial"/>
        <family val="2"/>
      </rPr>
      <t>1039                        Distribution through 30/04/2024</t>
    </r>
  </si>
  <si>
    <r>
      <rPr>
        <sz val="8"/>
        <rFont val="Arial"/>
        <family val="2"/>
      </rPr>
      <t>1131                        Distribution through 30/04/2024</t>
    </r>
  </si>
  <si>
    <r>
      <rPr>
        <sz val="8"/>
        <rFont val="Arial"/>
        <family val="2"/>
      </rPr>
      <t>Keith Family Super Fund</t>
    </r>
  </si>
  <si>
    <r>
      <rPr>
        <sz val="8"/>
        <rFont val="Arial"/>
        <family val="2"/>
      </rPr>
      <t>1135                        Distribution through 30/04/2024</t>
    </r>
  </si>
  <si>
    <r>
      <rPr>
        <sz val="8"/>
        <rFont val="Arial"/>
        <family val="2"/>
      </rPr>
      <t>1213                        Distribution through 30/04/2024</t>
    </r>
  </si>
  <si>
    <r>
      <rPr>
        <sz val="8"/>
        <rFont val="Arial"/>
        <family val="2"/>
      </rPr>
      <t>1034                 Amagis Family Super Fund</t>
    </r>
  </si>
  <si>
    <r>
      <rPr>
        <sz val="8"/>
        <rFont val="Arial"/>
        <family val="2"/>
      </rPr>
      <t>1183                        Distribution through 30/04/2024</t>
    </r>
  </si>
  <si>
    <r>
      <rPr>
        <sz val="8"/>
        <rFont val="Arial"/>
        <family val="2"/>
      </rPr>
      <t>1035                 J &amp; M</t>
    </r>
  </si>
  <si>
    <r>
      <rPr>
        <sz val="8"/>
        <rFont val="Arial"/>
        <family val="2"/>
      </rPr>
      <t>Chan Pty Ltd ATF Chan Family Pension Fund</t>
    </r>
  </si>
  <si>
    <r>
      <rPr>
        <sz val="8"/>
        <rFont val="Arial"/>
        <family val="2"/>
      </rPr>
      <t>MWLD Super Fund</t>
    </r>
  </si>
  <si>
    <r>
      <rPr>
        <sz val="8"/>
        <rFont val="Arial"/>
        <family val="2"/>
      </rPr>
      <t>Distribution from 04/04/2024 through 30/04/202</t>
    </r>
  </si>
  <si>
    <r>
      <rPr>
        <sz val="8"/>
        <rFont val="Arial"/>
        <family val="2"/>
      </rPr>
      <t>1038                 The</t>
    </r>
  </si>
  <si>
    <r>
      <rPr>
        <sz val="8"/>
        <rFont val="Arial"/>
        <family val="2"/>
      </rPr>
      <t>Verinder Family Trust</t>
    </r>
  </si>
  <si>
    <r>
      <rPr>
        <sz val="8"/>
        <rFont val="Arial"/>
        <family val="2"/>
      </rPr>
      <t>Lavin Trust</t>
    </r>
  </si>
  <si>
    <r>
      <rPr>
        <sz val="8"/>
        <rFont val="Arial"/>
        <family val="2"/>
      </rPr>
      <t>Petrevski &amp; Co Pty Ltd ATF Petrevski Super Fund</t>
    </r>
  </si>
  <si>
    <r>
      <rPr>
        <sz val="8"/>
        <rFont val="Arial"/>
        <family val="2"/>
      </rPr>
      <t>Vincent &amp; Laurette Refalo</t>
    </r>
  </si>
  <si>
    <r>
      <rPr>
        <sz val="8"/>
        <rFont val="Arial"/>
        <family val="2"/>
      </rPr>
      <t>1049                        Distribution through 30/04/2024</t>
    </r>
  </si>
  <si>
    <r>
      <rPr>
        <sz val="8"/>
        <rFont val="Arial"/>
        <family val="2"/>
      </rPr>
      <t>1203                        Distribution through 30/04/2024</t>
    </r>
  </si>
  <si>
    <r>
      <rPr>
        <sz val="8"/>
        <rFont val="Arial"/>
        <family val="2"/>
      </rPr>
      <t>1246                        Distribution through 30/04/2024</t>
    </r>
  </si>
  <si>
    <r>
      <rPr>
        <sz val="8"/>
        <rFont val="Arial"/>
        <family val="2"/>
      </rPr>
      <t>1042                 Paul Dunn</t>
    </r>
  </si>
  <si>
    <r>
      <rPr>
        <sz val="8"/>
        <rFont val="Arial"/>
        <family val="2"/>
      </rPr>
      <t>1052                        Distribution through 30/04/2024</t>
    </r>
  </si>
  <si>
    <r>
      <rPr>
        <sz val="8"/>
        <rFont val="Arial"/>
        <family val="2"/>
      </rPr>
      <t>1121                        Distribution through 30/04/2024</t>
    </r>
  </si>
  <si>
    <r>
      <rPr>
        <sz val="8"/>
        <rFont val="Arial"/>
        <family val="2"/>
      </rPr>
      <t>1043                 Julio Labraga</t>
    </r>
  </si>
  <si>
    <r>
      <rPr>
        <sz val="8"/>
        <rFont val="Arial"/>
        <family val="2"/>
      </rPr>
      <t>1046                 Giuseppe &amp; Rosemary Musico</t>
    </r>
  </si>
  <si>
    <r>
      <rPr>
        <sz val="8"/>
        <rFont val="Arial"/>
        <family val="2"/>
      </rPr>
      <t>1059                        Distribution through 30/04/2024</t>
    </r>
  </si>
  <si>
    <r>
      <rPr>
        <sz val="8"/>
        <rFont val="Arial"/>
        <family val="2"/>
      </rPr>
      <t>Salvatore Roppolo</t>
    </r>
  </si>
  <si>
    <r>
      <rPr>
        <sz val="8"/>
        <rFont val="Arial"/>
        <family val="2"/>
      </rPr>
      <t>1048                 Allicante</t>
    </r>
  </si>
  <si>
    <r>
      <rPr>
        <sz val="8"/>
        <rFont val="Arial"/>
        <family val="2"/>
      </rPr>
      <t>Pty Ltd ATF Shannan Whitney Superannuation Fund</t>
    </r>
  </si>
  <si>
    <r>
      <rPr>
        <sz val="8"/>
        <rFont val="Arial"/>
        <family val="2"/>
      </rPr>
      <t>Reynolds Family Trust</t>
    </r>
  </si>
  <si>
    <r>
      <rPr>
        <sz val="8"/>
        <rFont val="Arial"/>
        <family val="2"/>
      </rPr>
      <t>1050                 Silvana</t>
    </r>
  </si>
  <si>
    <r>
      <rPr>
        <sz val="8"/>
        <rFont val="Arial"/>
        <family val="2"/>
      </rPr>
      <t>Koren</t>
    </r>
  </si>
  <si>
    <r>
      <rPr>
        <sz val="8"/>
        <rFont val="Arial"/>
        <family val="2"/>
      </rPr>
      <t>Paul Swann</t>
    </r>
  </si>
  <si>
    <r>
      <rPr>
        <sz val="8"/>
        <rFont val="Arial"/>
        <family val="2"/>
      </rPr>
      <t>1109                        Distribution through 30/04/2024</t>
    </r>
  </si>
  <si>
    <r>
      <rPr>
        <sz val="8"/>
        <rFont val="Arial"/>
        <family val="2"/>
      </rPr>
      <t>1127                        Distribution through 30/04/2024</t>
    </r>
  </si>
  <si>
    <r>
      <rPr>
        <sz val="8"/>
        <rFont val="Arial"/>
        <family val="2"/>
      </rPr>
      <t>1232                        Distribution through 30/04/2024</t>
    </r>
  </si>
  <si>
    <r>
      <rPr>
        <sz val="8"/>
        <rFont val="Arial"/>
        <family val="2"/>
      </rPr>
      <t>1055                 The Holgate Trust</t>
    </r>
  </si>
  <si>
    <r>
      <rPr>
        <sz val="8"/>
        <rFont val="Arial"/>
        <family val="2"/>
      </rPr>
      <t>1192                        Distribution through 30/04/2024</t>
    </r>
  </si>
  <si>
    <r>
      <rPr>
        <sz val="8"/>
        <rFont val="Arial"/>
        <family val="2"/>
      </rPr>
      <t>1056                 Marigold Pennefather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</si>
  <si>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1111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</si>
  <si>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$7,643.84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</si>
  <si>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$7,643.84</t>
    </r>
  </si>
  <si>
    <r>
      <rPr>
        <sz val="8"/>
        <rFont val="Arial"/>
        <family val="2"/>
      </rPr>
      <t>1057                 D &amp; E Dusevic</t>
    </r>
  </si>
  <si>
    <r>
      <rPr>
        <sz val="8"/>
        <rFont val="Arial"/>
        <family val="2"/>
      </rPr>
      <t>1222                        Distribution through 30/04/2024</t>
    </r>
  </si>
  <si>
    <r>
      <rPr>
        <sz val="8"/>
        <rFont val="Arial"/>
        <family val="2"/>
      </rPr>
      <t>1235                        Distribution through 30/04/2024</t>
    </r>
  </si>
  <si>
    <r>
      <rPr>
        <sz val="8"/>
        <rFont val="Arial"/>
        <family val="2"/>
      </rPr>
      <t>1059                 Adam Ritson</t>
    </r>
  </si>
  <si>
    <r>
      <rPr>
        <sz val="8"/>
        <rFont val="Arial"/>
        <family val="2"/>
      </rPr>
      <t>1126                        Distribution through 30/04/2024</t>
    </r>
  </si>
  <si>
    <r>
      <rPr>
        <sz val="8"/>
        <rFont val="Arial"/>
        <family val="2"/>
      </rPr>
      <t>1061                 Almeida Group Investments Pty Ltd</t>
    </r>
  </si>
  <si>
    <r>
      <rPr>
        <sz val="8"/>
        <rFont val="Arial"/>
        <family val="2"/>
      </rPr>
      <t>1128                        Distribution through 30/04/2024</t>
    </r>
  </si>
  <si>
    <r>
      <rPr>
        <sz val="8"/>
        <rFont val="Arial"/>
        <family val="2"/>
      </rPr>
      <t>1062                 Gianna Swadling</t>
    </r>
  </si>
  <si>
    <r>
      <rPr>
        <sz val="8"/>
        <rFont val="Arial"/>
        <family val="2"/>
      </rPr>
      <t>1138                        Distribution through 30/04/2024</t>
    </r>
  </si>
  <si>
    <r>
      <rPr>
        <sz val="8"/>
        <rFont val="Arial"/>
        <family val="2"/>
      </rPr>
      <t>1207                        Distribution through 30/04/2024</t>
    </r>
  </si>
  <si>
    <r>
      <rPr>
        <sz val="8"/>
        <rFont val="Arial"/>
        <family val="2"/>
      </rPr>
      <t>1259                        Distribution through 30/04/2024</t>
    </r>
  </si>
  <si>
    <r>
      <rPr>
        <sz val="8"/>
        <rFont val="Arial"/>
        <family val="2"/>
      </rPr>
      <t>1063                 Darling Pty Ltd ATF Darling Super Fund</t>
    </r>
  </si>
  <si>
    <r>
      <rPr>
        <sz val="8"/>
        <rFont val="Arial"/>
        <family val="2"/>
      </rPr>
      <t>1139                        Distribution through 30/04/2024</t>
    </r>
  </si>
  <si>
    <r>
      <rPr>
        <sz val="8"/>
        <rFont val="Arial"/>
        <family val="2"/>
      </rPr>
      <t>1065                 Blue Arcadia Pty Ltd</t>
    </r>
  </si>
  <si>
    <r>
      <rPr>
        <sz val="8"/>
        <rFont val="Arial"/>
        <family val="2"/>
      </rPr>
      <t>1166                        Distribution through 30/04/2024</t>
    </r>
  </si>
  <si>
    <r>
      <rPr>
        <sz val="8"/>
        <rFont val="Arial"/>
        <family val="2"/>
      </rPr>
      <t>1209                        Distribution through 30/04/2024</t>
    </r>
  </si>
  <si>
    <r>
      <rPr>
        <sz val="8"/>
        <rFont val="Arial"/>
        <family val="2"/>
      </rPr>
      <t>1066                 Fletcher #2 Family Trust</t>
    </r>
  </si>
  <si>
    <r>
      <rPr>
        <sz val="8"/>
        <rFont val="Arial"/>
        <family val="2"/>
      </rPr>
      <t>1143                        Distribution through 30/04/2024</t>
    </r>
  </si>
  <si>
    <r>
      <rPr>
        <sz val="8"/>
        <rFont val="Arial"/>
        <family val="2"/>
      </rPr>
      <t>1067                 Nicole Dunn</t>
    </r>
  </si>
  <si>
    <r>
      <rPr>
        <sz val="8"/>
        <rFont val="Arial"/>
        <family val="2"/>
      </rPr>
      <t>1068                 Gatcorp Super Fund Pty Ltd ATF Gatcorp Superannuation Fund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</si>
  <si>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1146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</si>
  <si>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$6,115.07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</si>
  <si>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$6,115.07</t>
    </r>
  </si>
  <si>
    <r>
      <rPr>
        <sz val="8"/>
        <rFont val="Arial"/>
        <family val="2"/>
      </rPr>
      <t>Encina Trust</t>
    </r>
  </si>
  <si>
    <r>
      <rPr>
        <sz val="8"/>
        <rFont val="Arial"/>
        <family val="2"/>
      </rPr>
      <t>1147                        Distribution through 30/04/2024</t>
    </r>
  </si>
  <si>
    <r>
      <rPr>
        <sz val="8"/>
        <rFont val="Arial"/>
        <family val="2"/>
      </rPr>
      <t>1224                        Distribution through 30/04/2024</t>
    </r>
  </si>
  <si>
    <r>
      <rPr>
        <sz val="8"/>
        <rFont val="Arial"/>
        <family val="2"/>
      </rPr>
      <t>1070                 Shannan Whitney</t>
    </r>
  </si>
  <si>
    <r>
      <rPr>
        <sz val="8"/>
        <rFont val="Arial"/>
        <family val="2"/>
      </rPr>
      <t>1148                        Distribution through 30/04/2024</t>
    </r>
  </si>
  <si>
    <r>
      <rPr>
        <sz val="8"/>
        <rFont val="Arial"/>
        <family val="2"/>
      </rPr>
      <t>1071                 Carol James</t>
    </r>
  </si>
  <si>
    <r>
      <rPr>
        <sz val="8"/>
        <rFont val="Arial"/>
        <family val="2"/>
      </rPr>
      <t>1152                        Distribution through 30/04/2024</t>
    </r>
  </si>
  <si>
    <r>
      <rPr>
        <sz val="8"/>
        <rFont val="Arial"/>
        <family val="2"/>
      </rPr>
      <t>1072                 Anica Holgate</t>
    </r>
  </si>
  <si>
    <r>
      <rPr>
        <sz val="8"/>
        <rFont val="Arial"/>
        <family val="2"/>
      </rPr>
      <t>1153                        Distribution through 30/04/2024</t>
    </r>
  </si>
  <si>
    <r>
      <rPr>
        <sz val="8"/>
        <rFont val="Arial"/>
        <family val="2"/>
      </rPr>
      <t>1241                        Distribution through 30/04/2024</t>
    </r>
  </si>
  <si>
    <r>
      <rPr>
        <sz val="8"/>
        <rFont val="Arial"/>
        <family val="2"/>
      </rPr>
      <t>W &amp; CE Stevenson</t>
    </r>
  </si>
  <si>
    <r>
      <rPr>
        <sz val="8"/>
        <rFont val="Arial"/>
        <family val="2"/>
      </rPr>
      <t>1156                        Distribution through 30/04/2024</t>
    </r>
  </si>
  <si>
    <r>
      <rPr>
        <sz val="8"/>
        <rFont val="Arial"/>
        <family val="2"/>
      </rPr>
      <t>1075                 5114 Pty Ltd</t>
    </r>
  </si>
  <si>
    <r>
      <rPr>
        <sz val="8"/>
        <rFont val="Arial"/>
        <family val="2"/>
      </rPr>
      <t>1157                        Distribution through 30/04/2024</t>
    </r>
  </si>
  <si>
    <r>
      <rPr>
        <sz val="8"/>
        <rFont val="Arial"/>
        <family val="2"/>
      </rPr>
      <t>1076                 Julian Ludowici</t>
    </r>
  </si>
  <si>
    <r>
      <rPr>
        <sz val="8"/>
        <rFont val="Arial"/>
        <family val="2"/>
      </rPr>
      <t>1159                        Distribution through 30/04/2024</t>
    </r>
  </si>
  <si>
    <r>
      <rPr>
        <sz val="8"/>
        <rFont val="Arial"/>
        <family val="2"/>
      </rPr>
      <t>1080                 Selina Swadling</t>
    </r>
  </si>
  <si>
    <r>
      <rPr>
        <sz val="8"/>
        <rFont val="Arial"/>
        <family val="2"/>
      </rPr>
      <t>1187                        Distribution through 30/04/2024</t>
    </r>
  </si>
  <si>
    <r>
      <rPr>
        <sz val="8"/>
        <rFont val="Arial"/>
        <family val="2"/>
      </rPr>
      <t>1188                        Distribution through 30/04/2024</t>
    </r>
  </si>
  <si>
    <r>
      <rPr>
        <sz val="8"/>
        <rFont val="Arial"/>
        <family val="2"/>
      </rPr>
      <t>1288                        Distribution through 30/04/2024</t>
    </r>
  </si>
  <si>
    <r>
      <rPr>
        <sz val="8"/>
        <rFont val="Arial"/>
        <family val="2"/>
      </rPr>
      <t>1081                 Thrumster One Pty Ltd</t>
    </r>
  </si>
  <si>
    <r>
      <rPr>
        <sz val="8"/>
        <rFont val="Arial"/>
        <family val="2"/>
      </rPr>
      <t>1162                        Distribution through 30/04/2024</t>
    </r>
  </si>
  <si>
    <r>
      <rPr>
        <sz val="8"/>
        <rFont val="Arial"/>
        <family val="2"/>
      </rPr>
      <t>1208                        Distribution through 30/04/2024</t>
    </r>
  </si>
  <si>
    <r>
      <rPr>
        <sz val="8"/>
        <rFont val="Arial"/>
        <family val="2"/>
      </rPr>
      <t>1087                 G &amp; R Musico Services Pty Ltd ATF G &amp; R Musico Super Fund</t>
    </r>
  </si>
  <si>
    <r>
      <rPr>
        <sz val="8"/>
        <rFont val="Arial"/>
        <family val="2"/>
      </rPr>
      <t>1165                        Distribution through 30/04/2024</t>
    </r>
  </si>
  <si>
    <r>
      <rPr>
        <sz val="8"/>
        <rFont val="Arial"/>
        <family val="2"/>
      </rPr>
      <t>1088                 Giuseppe Musico</t>
    </r>
  </si>
  <si>
    <r>
      <rPr>
        <sz val="8"/>
        <rFont val="Arial"/>
        <family val="2"/>
      </rPr>
      <t>1167                        Distribution through 30/04/2024</t>
    </r>
  </si>
  <si>
    <r>
      <rPr>
        <sz val="8"/>
        <rFont val="Arial"/>
        <family val="2"/>
      </rPr>
      <t>1091                 PDV Holding Pty Ltd</t>
    </r>
  </si>
  <si>
    <r>
      <rPr>
        <sz val="8"/>
        <rFont val="Arial"/>
        <family val="2"/>
      </rPr>
      <t>1176                        Distribution through 30/04/2024</t>
    </r>
  </si>
  <si>
    <r>
      <rPr>
        <sz val="8"/>
        <rFont val="Arial"/>
        <family val="2"/>
      </rPr>
      <t>1096                 Macourt Children Settlement</t>
    </r>
  </si>
  <si>
    <r>
      <rPr>
        <sz val="8"/>
        <rFont val="Arial"/>
        <family val="2"/>
      </rPr>
      <t>1204                        Distribution through 30/04/2024</t>
    </r>
  </si>
  <si>
    <r>
      <rPr>
        <sz val="8"/>
        <rFont val="Arial"/>
        <family val="2"/>
      </rPr>
      <t>DCRM No.2 Super Fund</t>
    </r>
  </si>
  <si>
    <r>
      <rPr>
        <sz val="8"/>
        <rFont val="Arial"/>
        <family val="2"/>
      </rPr>
      <t>1100                 AKR Investments (NSW) Pty Ltd ATF The Andrew Rennie Family Trust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</si>
  <si>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1179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</si>
  <si>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$1,643.84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</si>
  <si>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$1,643.84</t>
    </r>
  </si>
  <si>
    <r>
      <rPr>
        <sz val="8"/>
        <rFont val="Arial"/>
        <family val="2"/>
      </rPr>
      <t>1101                 ADSG Barilaro Superfund</t>
    </r>
  </si>
  <si>
    <r>
      <rPr>
        <sz val="8"/>
        <rFont val="Arial"/>
        <family val="2"/>
      </rPr>
      <t>1102                 Moon Goddess Superannuation Fund</t>
    </r>
  </si>
  <si>
    <r>
      <rPr>
        <sz val="8"/>
        <rFont val="Arial"/>
        <family val="2"/>
      </rPr>
      <t>1103                 MLM</t>
    </r>
  </si>
  <si>
    <r>
      <rPr>
        <sz val="8"/>
        <rFont val="Arial"/>
        <family val="2"/>
      </rPr>
      <t>Legacy PL ATF MLM Family Legacy Trust</t>
    </r>
  </si>
  <si>
    <r>
      <rPr>
        <sz val="8"/>
        <rFont val="Arial"/>
        <family val="2"/>
      </rPr>
      <t>1105                 BCR</t>
    </r>
  </si>
  <si>
    <r>
      <rPr>
        <sz val="8"/>
        <rFont val="Arial"/>
        <family val="2"/>
      </rPr>
      <t>Custodians Pty Ltd ATF Thirgood Family Trust</t>
    </r>
  </si>
  <si>
    <r>
      <rPr>
        <sz val="8"/>
        <rFont val="Arial"/>
        <family val="2"/>
      </rPr>
      <t>Lynne Bissett</t>
    </r>
  </si>
  <si>
    <r>
      <rPr>
        <sz val="8"/>
        <rFont val="Arial"/>
        <family val="2"/>
      </rPr>
      <t>1197                        Distribution through 30/04/2024                                            $764.38</t>
    </r>
  </si>
  <si>
    <r>
      <rPr>
        <sz val="8"/>
        <rFont val="Arial"/>
        <family val="2"/>
      </rPr>
      <t>1107                 Biset Holdings Pty Ltd ATF Kelf &amp; Tactum Superannuation Fund</t>
    </r>
  </si>
  <si>
    <r>
      <rPr>
        <sz val="8"/>
        <rFont val="Arial"/>
        <family val="2"/>
      </rPr>
      <t>1198                        Distribution through 30/04/2024                                         $1,146.58</t>
    </r>
  </si>
  <si>
    <r>
      <rPr>
        <sz val="8"/>
        <rFont val="Arial"/>
        <family val="2"/>
      </rPr>
      <t>1229                        Distribution through 30/04/2024                                            $382.19</t>
    </r>
  </si>
  <si>
    <r>
      <rPr>
        <sz val="8"/>
        <rFont val="Arial"/>
        <family val="2"/>
      </rPr>
      <t>1277                        Distribution through 30/04/2024                                            $382.19</t>
    </r>
  </si>
  <si>
    <r>
      <rPr>
        <sz val="8"/>
        <rFont val="Arial"/>
        <family val="2"/>
      </rPr>
      <t>1108                 Jordan Schweickle</t>
    </r>
  </si>
  <si>
    <r>
      <rPr>
        <sz val="8"/>
        <rFont val="Arial"/>
        <family val="2"/>
      </rPr>
      <t>1216                        Distribution through 30/04/2024                                                $0.00</t>
    </r>
  </si>
  <si>
    <r>
      <rPr>
        <sz val="8"/>
        <rFont val="Arial"/>
        <family val="2"/>
      </rPr>
      <t>1110                 Walker United Investment Trust</t>
    </r>
  </si>
  <si>
    <r>
      <rPr>
        <sz val="8"/>
        <rFont val="Arial"/>
        <family val="2"/>
      </rPr>
      <t>1231                        Distribution through 30/04/2024                                                $0.00</t>
    </r>
  </si>
  <si>
    <r>
      <rPr>
        <sz val="8"/>
        <rFont val="Arial"/>
        <family val="2"/>
      </rPr>
      <t>1111                 Amagis Family Trust</t>
    </r>
  </si>
  <si>
    <r>
      <rPr>
        <sz val="8"/>
        <rFont val="Arial"/>
        <family val="2"/>
      </rPr>
      <t>1223                        Distribution through 30/04/2024                                         $1,972.60</t>
    </r>
  </si>
  <si>
    <r>
      <rPr>
        <sz val="8"/>
        <rFont val="Arial"/>
        <family val="2"/>
      </rPr>
      <t>1113                 Blue Pac Super Pty Ltd ATF Blue Pac Superannuation Fund</t>
    </r>
  </si>
  <si>
    <r>
      <rPr>
        <sz val="8"/>
        <rFont val="Arial"/>
        <family val="2"/>
      </rPr>
      <t>1217                        Distribution through 30/04/2024                                         $1,315.07</t>
    </r>
  </si>
  <si>
    <r>
      <rPr>
        <sz val="8"/>
        <rFont val="Arial"/>
        <family val="2"/>
      </rPr>
      <t>AGVJ Family Trust</t>
    </r>
  </si>
  <si>
    <r>
      <rPr>
        <sz val="8"/>
        <rFont val="Arial"/>
        <family val="2"/>
      </rPr>
      <t>1115                 Melissa Ball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</si>
  <si>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1219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</si>
  <si>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$2,876.71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</si>
  <si>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$2,876.71</t>
    </r>
  </si>
  <si>
    <r>
      <rPr>
        <sz val="8"/>
        <rFont val="Arial"/>
        <family val="2"/>
      </rPr>
      <t>1116                 IT Contracting Services Pty Ltd ATF Zabow Superannuation</t>
    </r>
  </si>
  <si>
    <r>
      <rPr>
        <sz val="8"/>
        <rFont val="Arial"/>
        <family val="2"/>
      </rPr>
      <t>1220                        Distribution through 30/04/2024</t>
    </r>
  </si>
  <si>
    <r>
      <rPr>
        <sz val="8"/>
        <rFont val="Arial"/>
        <family val="2"/>
      </rPr>
      <t>1250                        Distribution through 30/04/2024</t>
    </r>
  </si>
  <si>
    <r>
      <rPr>
        <sz val="8"/>
        <rFont val="Arial"/>
        <family val="2"/>
      </rPr>
      <t>Tina Pittiglio</t>
    </r>
  </si>
  <si>
    <r>
      <rPr>
        <sz val="8"/>
        <rFont val="Arial"/>
        <family val="2"/>
      </rPr>
      <t>1118                 Verinder</t>
    </r>
  </si>
  <si>
    <r>
      <rPr>
        <sz val="8"/>
        <rFont val="Arial"/>
        <family val="2"/>
      </rPr>
      <t>Superannuation Fund</t>
    </r>
  </si>
  <si>
    <r>
      <rPr>
        <sz val="8"/>
        <rFont val="Arial"/>
        <family val="2"/>
      </rPr>
      <t>1119                 M G Lubrano Super Fund</t>
    </r>
  </si>
  <si>
    <r>
      <rPr>
        <sz val="8"/>
        <rFont val="Arial"/>
        <family val="2"/>
      </rPr>
      <t>1227                        Distribution through 30/04/2024</t>
    </r>
  </si>
  <si>
    <r>
      <rPr>
        <sz val="8"/>
        <rFont val="Arial"/>
        <family val="2"/>
      </rPr>
      <t>1120                 Sally Bodor</t>
    </r>
  </si>
  <si>
    <r>
      <rPr>
        <sz val="8"/>
        <rFont val="Arial"/>
        <family val="2"/>
      </rPr>
      <t>1228                        Distribution through 30/04/2024</t>
    </r>
  </si>
  <si>
    <r>
      <rPr>
        <sz val="8"/>
        <rFont val="Arial"/>
        <family val="2"/>
      </rPr>
      <t>Stuart McKinlay</t>
    </r>
  </si>
  <si>
    <r>
      <rPr>
        <sz val="8"/>
        <rFont val="Arial"/>
        <family val="2"/>
      </rPr>
      <t>1234                        Distribution through 30/04/2024</t>
    </r>
  </si>
  <si>
    <r>
      <rPr>
        <sz val="8"/>
        <rFont val="Arial"/>
        <family val="2"/>
      </rPr>
      <t>1238                        Distribution through 30/04/2024</t>
    </r>
  </si>
  <si>
    <r>
      <rPr>
        <sz val="8"/>
        <rFont val="Arial"/>
        <family val="2"/>
      </rPr>
      <t>1124                 Jersey Lane Trust</t>
    </r>
  </si>
  <si>
    <r>
      <rPr>
        <sz val="8"/>
        <rFont val="Arial"/>
        <family val="2"/>
      </rPr>
      <t>1292                        Distribution from 25/03/2024 through 30/04/202</t>
    </r>
  </si>
  <si>
    <r>
      <rPr>
        <sz val="8"/>
        <rFont val="Arial"/>
        <family val="2"/>
      </rPr>
      <t>1126                 Predad</t>
    </r>
  </si>
  <si>
    <r>
      <rPr>
        <sz val="8"/>
        <rFont val="Arial"/>
        <family val="2"/>
      </rPr>
      <t>Pty Ltd ATF W J Smith Superannuation Fund</t>
    </r>
  </si>
  <si>
    <r>
      <rPr>
        <sz val="8"/>
        <rFont val="Arial"/>
        <family val="2"/>
      </rPr>
      <t>1126                 Predad Pty Ltd ATF W J Smith Superannuation Fund</t>
    </r>
  </si>
  <si>
    <r>
      <rPr>
        <b/>
        <sz val="8"/>
        <rFont val="Arial"/>
        <family val="2"/>
      </rPr>
      <t>Certificate</t>
    </r>
  </si>
  <si>
    <r>
      <rPr>
        <b/>
        <sz val="8"/>
        <rFont val="Arial"/>
        <family val="2"/>
      </rPr>
      <t>Pay</t>
    </r>
  </si>
  <si>
    <r>
      <rPr>
        <b/>
        <sz val="8"/>
        <rFont val="Arial"/>
        <family val="2"/>
      </rPr>
      <t>Interest</t>
    </r>
  </si>
  <si>
    <r>
      <rPr>
        <b/>
        <sz val="8"/>
        <rFont val="Arial"/>
        <family val="2"/>
      </rPr>
      <t>Principal</t>
    </r>
  </si>
  <si>
    <r>
      <rPr>
        <b/>
        <sz val="8"/>
        <rFont val="Arial"/>
        <family val="2"/>
      </rPr>
      <t>Number</t>
    </r>
  </si>
  <si>
    <r>
      <rPr>
        <b/>
        <sz val="8"/>
        <rFont val="Arial"/>
        <family val="2"/>
      </rPr>
      <t>Amount</t>
    </r>
  </si>
  <si>
    <r>
      <rPr>
        <b/>
        <sz val="8"/>
        <rFont val="Arial"/>
        <family val="2"/>
      </rPr>
      <t>Paid</t>
    </r>
  </si>
  <si>
    <r>
      <rPr>
        <b/>
        <sz val="8"/>
        <rFont val="Arial"/>
        <family val="2"/>
      </rPr>
      <t>Rollover</t>
    </r>
  </si>
  <si>
    <r>
      <rPr>
        <sz val="8"/>
        <rFont val="Arial"/>
        <family val="2"/>
      </rPr>
      <t>1129                 Adorben Pty Limited ATF Adorben Pty Limited Superannuation Fund</t>
    </r>
  </si>
  <si>
    <r>
      <rPr>
        <sz val="8"/>
        <rFont val="Arial"/>
        <family val="2"/>
      </rPr>
      <t>1251                        Distribution through 30/04/2024</t>
    </r>
  </si>
  <si>
    <r>
      <rPr>
        <sz val="8"/>
        <rFont val="Arial"/>
        <family val="2"/>
      </rPr>
      <t>1130                 Erasmo and Carmela Roppolo</t>
    </r>
  </si>
  <si>
    <r>
      <rPr>
        <sz val="8"/>
        <rFont val="Arial"/>
        <family val="2"/>
      </rPr>
      <t>1252                        Distribution through 30/04/2024</t>
    </r>
  </si>
  <si>
    <r>
      <rPr>
        <sz val="8"/>
        <rFont val="Arial"/>
        <family val="2"/>
      </rPr>
      <t>1132                 Viano Corporation Pty Ltd account no. 2</t>
    </r>
  </si>
  <si>
    <r>
      <rPr>
        <sz val="8"/>
        <rFont val="Arial"/>
        <family val="2"/>
      </rPr>
      <t>1255                        Distribution through 30/04/2024</t>
    </r>
  </si>
  <si>
    <r>
      <rPr>
        <sz val="8"/>
        <rFont val="Arial"/>
        <family val="2"/>
      </rPr>
      <t>1134                 Gerard Breslin</t>
    </r>
  </si>
  <si>
    <r>
      <rPr>
        <sz val="8"/>
        <rFont val="Arial"/>
        <family val="2"/>
      </rPr>
      <t>1260                        Distribution through 30/04/2024                                                $0.00</t>
    </r>
  </si>
  <si>
    <r>
      <rPr>
        <sz val="8"/>
        <rFont val="Arial"/>
        <family val="2"/>
      </rPr>
      <t>1135                 Kaufline Superannuation Pty Ltd ATF Kaufline Family Super Fund</t>
    </r>
  </si>
  <si>
    <r>
      <rPr>
        <sz val="8"/>
        <rFont val="Arial"/>
        <family val="2"/>
      </rPr>
      <t>1257                        Distribution through 30/04/2024                                            $986.30</t>
    </r>
  </si>
  <si>
    <r>
      <rPr>
        <sz val="8"/>
        <rFont val="Arial"/>
        <family val="2"/>
      </rPr>
      <t>1137                 BDH Superannuation Fund Pty Ltd ATF BDH Superannuation Fund</t>
    </r>
  </si>
  <si>
    <r>
      <rPr>
        <sz val="8"/>
        <rFont val="Arial"/>
        <family val="2"/>
      </rPr>
      <t>1261                        Distribution through 30/04/2024                                         $1,972.60</t>
    </r>
  </si>
  <si>
    <r>
      <rPr>
        <sz val="8"/>
        <rFont val="Arial"/>
        <family val="2"/>
      </rPr>
      <t>1138                 Grant Pudig</t>
    </r>
  </si>
  <si>
    <r>
      <rPr>
        <sz val="8"/>
        <rFont val="Arial"/>
        <family val="2"/>
      </rPr>
      <t>1262                        Distribution through 30/04/2024                                         $7,643.84</t>
    </r>
  </si>
  <si>
    <r>
      <rPr>
        <sz val="8"/>
        <rFont val="Arial"/>
        <family val="2"/>
      </rPr>
      <t>1139                 Winyard Superannuation Fund</t>
    </r>
  </si>
  <si>
    <r>
      <rPr>
        <sz val="8"/>
        <rFont val="Arial"/>
        <family val="2"/>
      </rPr>
      <t>1263                        Distribution through 30/04/2024                                            $986.30</t>
    </r>
  </si>
  <si>
    <r>
      <rPr>
        <sz val="8"/>
        <rFont val="Arial"/>
        <family val="2"/>
      </rPr>
      <t>1140                 4th Floor Office Pty Ltd ATF 4th Floor Trust</t>
    </r>
  </si>
  <si>
    <r>
      <rPr>
        <sz val="8"/>
        <rFont val="Arial"/>
        <family val="2"/>
      </rPr>
      <t>1264                        Distribution through 30/04/2024                                         $7,643.84</t>
    </r>
  </si>
  <si>
    <r>
      <rPr>
        <sz val="8"/>
        <rFont val="Arial"/>
        <family val="2"/>
      </rPr>
      <t>1141                 Gerard Breslin Account No.2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</si>
  <si>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1271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</si>
  <si>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$0.00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</si>
  <si>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$1,547.91</t>
    </r>
  </si>
  <si>
    <r>
      <rPr>
        <b/>
        <sz val="8"/>
        <rFont val="Arial"/>
        <family val="2"/>
      </rPr>
      <t xml:space="preserve">Principal Paid
</t>
    </r>
    <r>
      <rPr>
        <sz val="8"/>
        <rFont val="Arial"/>
        <family val="2"/>
      </rPr>
      <t>-$1,547.91</t>
    </r>
  </si>
  <si>
    <r>
      <rPr>
        <sz val="8"/>
        <rFont val="Arial"/>
        <family val="2"/>
      </rPr>
      <t>Dova Real Estate Pty Ltd</t>
    </r>
  </si>
  <si>
    <r>
      <rPr>
        <sz val="8"/>
        <rFont val="Arial"/>
        <family val="2"/>
      </rPr>
      <t>1268                        Distribution through 30/04/2024</t>
    </r>
  </si>
  <si>
    <r>
      <rPr>
        <sz val="8"/>
        <rFont val="Arial"/>
        <family val="2"/>
      </rPr>
      <t>1144                 Spalding Group Pty Ltd ATF SAN Super Fund</t>
    </r>
  </si>
  <si>
    <r>
      <rPr>
        <sz val="8"/>
        <rFont val="Arial"/>
        <family val="2"/>
      </rPr>
      <t>1269                        Distribution through 30/04/2024</t>
    </r>
  </si>
  <si>
    <r>
      <rPr>
        <sz val="8"/>
        <rFont val="Arial"/>
        <family val="2"/>
      </rPr>
      <t>Dr Zita Ballok</t>
    </r>
  </si>
  <si>
    <r>
      <rPr>
        <sz val="8"/>
        <rFont val="Arial"/>
        <family val="2"/>
      </rPr>
      <t>1272                        Distribution through 30/04/2024</t>
    </r>
  </si>
  <si>
    <r>
      <rPr>
        <sz val="8"/>
        <rFont val="Arial"/>
        <family val="2"/>
      </rPr>
      <t>1281                        Distribution through 30/04/2024</t>
    </r>
  </si>
  <si>
    <r>
      <rPr>
        <sz val="8"/>
        <rFont val="Arial"/>
        <family val="2"/>
      </rPr>
      <t>1146                 Janet Cecilie Smith</t>
    </r>
  </si>
  <si>
    <r>
      <rPr>
        <sz val="8"/>
        <rFont val="Arial"/>
        <family val="2"/>
      </rPr>
      <t>1273                        Distribution through 30/04/2024</t>
    </r>
  </si>
  <si>
    <r>
      <rPr>
        <sz val="8"/>
        <rFont val="Arial"/>
        <family val="2"/>
      </rPr>
      <t>John and Kerrie Barnett</t>
    </r>
  </si>
  <si>
    <r>
      <rPr>
        <sz val="8"/>
        <rFont val="Arial"/>
        <family val="2"/>
      </rPr>
      <t>1275                        Distribution through 30/04/2024                                            $287.67</t>
    </r>
  </si>
  <si>
    <r>
      <rPr>
        <sz val="8"/>
        <rFont val="Arial"/>
        <family val="2"/>
      </rPr>
      <t>1276                        Distribution through 30/04/2024                                                $0.00</t>
    </r>
  </si>
  <si>
    <r>
      <rPr>
        <sz val="8"/>
        <rFont val="Arial"/>
        <family val="2"/>
      </rPr>
      <t>1148                 J &amp; M Chan Pty Ltd ATF Chan Family Pension Fund Account no.2</t>
    </r>
  </si>
  <si>
    <r>
      <rPr>
        <sz val="8"/>
        <rFont val="Arial"/>
        <family val="2"/>
      </rPr>
      <t>1278                        Distribution through 30/04/2024                                            $382.19</t>
    </r>
  </si>
  <si>
    <r>
      <rPr>
        <sz val="8"/>
        <rFont val="Arial"/>
        <family val="2"/>
      </rPr>
      <t>Jan Breslin</t>
    </r>
  </si>
  <si>
    <r>
      <rPr>
        <sz val="8"/>
        <rFont val="Arial"/>
        <family val="2"/>
      </rPr>
      <t>1279                        Distribution through 30/04/2024</t>
    </r>
  </si>
  <si>
    <r>
      <rPr>
        <sz val="8"/>
        <rFont val="Arial"/>
        <family val="2"/>
      </rPr>
      <t>1291                        Distribution through 30/04/2024</t>
    </r>
  </si>
  <si>
    <r>
      <rPr>
        <sz val="8"/>
        <rFont val="Arial"/>
        <family val="2"/>
      </rPr>
      <t>1150                 Barry Donnelly</t>
    </r>
  </si>
  <si>
    <r>
      <rPr>
        <sz val="8"/>
        <rFont val="Arial"/>
        <family val="2"/>
      </rPr>
      <t>1280                        Distribution through 30/04/2024</t>
    </r>
  </si>
  <si>
    <r>
      <rPr>
        <sz val="8"/>
        <rFont val="Arial"/>
        <family val="2"/>
      </rPr>
      <t>1151                 Dovile Fraser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</si>
  <si>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1283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</si>
  <si>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$2,465.75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</si>
  <si>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$2,465.75</t>
    </r>
  </si>
  <si>
    <r>
      <rPr>
        <sz val="8"/>
        <rFont val="Arial"/>
        <family val="2"/>
      </rPr>
      <t>Yartvest Pty Ltd</t>
    </r>
  </si>
  <si>
    <r>
      <rPr>
        <sz val="8"/>
        <rFont val="Arial"/>
        <family val="2"/>
      </rPr>
      <t>1282                        Distribution through 30/04/2024</t>
    </r>
  </si>
  <si>
    <r>
      <rPr>
        <sz val="8"/>
        <rFont val="Arial"/>
        <family val="2"/>
      </rPr>
      <t>1153                 Donnelly SFT Pty Limited ATF Donnelly Super Fund</t>
    </r>
  </si>
  <si>
    <r>
      <rPr>
        <sz val="8"/>
        <rFont val="Arial"/>
        <family val="2"/>
      </rPr>
      <t>1285                        Distribution through 30/04/2024</t>
    </r>
  </si>
  <si>
    <r>
      <rPr>
        <sz val="8"/>
        <rFont val="Arial"/>
        <family val="2"/>
      </rPr>
      <t>1154                 Richard Telleria</t>
    </r>
  </si>
  <si>
    <r>
      <rPr>
        <sz val="8"/>
        <rFont val="Arial"/>
        <family val="2"/>
      </rPr>
      <t>1286                        Distribution through 30/04/2024</t>
    </r>
  </si>
  <si>
    <r>
      <rPr>
        <sz val="8"/>
        <rFont val="Arial"/>
        <family val="2"/>
      </rPr>
      <t>1155                 Sobol Investments Pty Ltd ATF Sobol Family Trust</t>
    </r>
  </si>
  <si>
    <r>
      <rPr>
        <sz val="8"/>
        <rFont val="Arial"/>
        <family val="2"/>
      </rPr>
      <t>1287                        Distribution through 30/04/2024</t>
    </r>
  </si>
  <si>
    <r>
      <rPr>
        <sz val="8"/>
        <rFont val="Arial"/>
        <family val="2"/>
      </rPr>
      <t>1156                 Eleanor Spano</t>
    </r>
  </si>
  <si>
    <r>
      <rPr>
        <sz val="8"/>
        <rFont val="Arial"/>
        <family val="2"/>
      </rPr>
      <t>1289                        Distribution through 30/04/2024</t>
    </r>
  </si>
  <si>
    <r>
      <rPr>
        <sz val="8"/>
        <rFont val="Arial"/>
        <family val="2"/>
      </rPr>
      <t>1157                 TY OZ PTY LTD ATF TY OZ Trust</t>
    </r>
  </si>
  <si>
    <r>
      <rPr>
        <sz val="8"/>
        <rFont val="Arial"/>
        <family val="2"/>
      </rPr>
      <t>1293                        Distribution from 04/04/2024 through 30/04/202</t>
    </r>
  </si>
  <si>
    <r>
      <rPr>
        <sz val="8"/>
        <rFont val="Arial"/>
        <family val="2"/>
      </rPr>
      <t>Edward Cassidy</t>
    </r>
  </si>
  <si>
    <r>
      <rPr>
        <sz val="8"/>
        <rFont val="Arial"/>
        <family val="2"/>
      </rPr>
      <t>1297                        Distribution from 11/04/2024 through 30/04/202</t>
    </r>
  </si>
  <si>
    <r>
      <rPr>
        <sz val="8"/>
        <rFont val="Arial"/>
        <family val="2"/>
      </rPr>
      <t>1159                 Longroup Investments Pty Ltd</t>
    </r>
  </si>
  <si>
    <r>
      <rPr>
        <sz val="8"/>
        <rFont val="Arial"/>
        <family val="2"/>
      </rPr>
      <t>1298                        Distribution from 16/04/2024 through 30/04/202</t>
    </r>
  </si>
  <si>
    <t>1001                 Skoufa Pty Ltd ATF SRA Skoufis Super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</si>
</sst>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$#,##0.00"/>
    <numFmt numFmtId="165" formatCode="dd/mm/yyyy;@"/>
    <numFmt numFmtId="166" formatCode="\$0.00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sz val="11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b/>
      <vertAlign val="superscript"/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6EAEE"/>
      </patternFill>
    </fill>
  </fills>
  <borders count="4">
    <border>
      <left/>
      <right/>
      <top/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0" borderId="0"/>
    <xf numFmtId="0" fontId="4" fillId="0" borderId="0"/>
    <xf numFmtId="0" fontId="6" fillId="0" borderId="0"/>
    <xf numFmtId="0" fontId="8" fillId="0" borderId="0"/>
  </cellStyleXfs>
  <cellXfs count="93">
    <xf numFmtId="0" fontId="0" fillId="0" borderId="0" xfId="0"/>
    <xf numFmtId="0" fontId="3" fillId="0" borderId="0" xfId="0" applyFont="1"/>
    <xf numFmtId="0" fontId="1" fillId="0" borderId="0" xfId="0" applyFont="1"/>
    <xf numFmtId="0" fontId="9" fillId="0" borderId="0" xfId="0" applyFont="1"/>
    <xf numFmtId="0" fontId="7" fillId="0" borderId="0" xfId="0" applyFont="1"/>
    <xf numFmtId="1" fontId="0" fillId="0" borderId="0" xfId="0" applyNumberFormat="1"/>
    <xf numFmtId="1" fontId="0" fillId="0" borderId="0" xfId="0" quotePrefix="1" applyNumberFormat="1"/>
    <xf numFmtId="49" fontId="5" fillId="0" borderId="0" xfId="0" applyNumberFormat="1" applyFont="1" applyAlignment="1">
      <alignment horizontal="left" vertical="center"/>
    </xf>
    <xf numFmtId="49" fontId="2" fillId="0" borderId="0" xfId="0" applyNumberFormat="1" applyFont="1"/>
    <xf numFmtId="0" fontId="3" fillId="2" borderId="0" xfId="0" applyFont="1" applyFill="1"/>
    <xf numFmtId="0" fontId="5" fillId="0" borderId="0" xfId="0" applyFont="1" applyAlignment="1">
      <alignment horizontal="left" vertical="top" wrapText="1" indent="2"/>
    </xf>
    <xf numFmtId="0" fontId="10" fillId="0" borderId="0" xfId="0" applyFont="1" applyAlignment="1">
      <alignment horizontal="left" vertical="top" wrapText="1" indent="5"/>
    </xf>
    <xf numFmtId="0" fontId="5" fillId="0" borderId="0" xfId="0" applyFont="1" applyAlignment="1">
      <alignment horizontal="left" vertical="top" wrapText="1" indent="16"/>
    </xf>
    <xf numFmtId="164" fontId="11" fillId="0" borderId="0" xfId="0" applyNumberFormat="1" applyFont="1" applyAlignment="1">
      <alignment horizontal="left" vertical="top" indent="1" shrinkToFi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/>
    </xf>
    <xf numFmtId="165" fontId="11" fillId="0" borderId="0" xfId="0" applyNumberFormat="1" applyFont="1" applyAlignment="1">
      <alignment horizontal="left" vertical="top" indent="5" shrinkToFit="1"/>
    </xf>
    <xf numFmtId="164" fontId="11" fillId="0" borderId="0" xfId="0" applyNumberFormat="1" applyFont="1" applyAlignment="1">
      <alignment horizontal="left" vertical="top" indent="2" shrinkToFit="1"/>
    </xf>
    <xf numFmtId="0" fontId="0" fillId="0" borderId="0" xfId="0" applyAlignment="1">
      <alignment horizontal="left" wrapText="1"/>
    </xf>
    <xf numFmtId="166" fontId="11" fillId="0" borderId="0" xfId="0" applyNumberFormat="1" applyFont="1" applyAlignment="1">
      <alignment horizontal="left" vertical="top" indent="5" shrinkToFit="1"/>
    </xf>
    <xf numFmtId="0" fontId="10" fillId="3" borderId="0" xfId="0" applyFont="1" applyFill="1" applyAlignment="1">
      <alignment horizontal="left" vertical="top" wrapText="1"/>
    </xf>
    <xf numFmtId="0" fontId="5" fillId="0" borderId="0" xfId="0" applyFont="1" applyAlignment="1">
      <alignment horizontal="left" vertical="top" wrapText="1" indent="6"/>
    </xf>
    <xf numFmtId="0" fontId="0" fillId="0" borderId="0" xfId="0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top" wrapText="1" indent="2"/>
    </xf>
    <xf numFmtId="0" fontId="5" fillId="0" borderId="1" xfId="0" applyFont="1" applyBorder="1" applyAlignment="1">
      <alignment horizontal="left" vertical="top" wrapText="1" indent="2"/>
    </xf>
    <xf numFmtId="0" fontId="5" fillId="0" borderId="1" xfId="0" applyFont="1" applyBorder="1" applyAlignment="1">
      <alignment horizontal="center" vertical="center" wrapText="1"/>
    </xf>
    <xf numFmtId="1" fontId="11" fillId="0" borderId="2" xfId="0" applyNumberFormat="1" applyFont="1" applyBorder="1" applyAlignment="1">
      <alignment horizontal="center" vertical="top" shrinkToFit="1"/>
    </xf>
    <xf numFmtId="0" fontId="10" fillId="0" borderId="2" xfId="0" applyFont="1" applyBorder="1" applyAlignment="1">
      <alignment horizontal="left" vertical="top" wrapText="1"/>
    </xf>
    <xf numFmtId="166" fontId="11" fillId="0" borderId="2" xfId="0" applyNumberFormat="1" applyFont="1" applyBorder="1" applyAlignment="1">
      <alignment horizontal="right" vertical="top" shrinkToFit="1"/>
    </xf>
    <xf numFmtId="166" fontId="11" fillId="0" borderId="2" xfId="0" applyNumberFormat="1" applyFont="1" applyBorder="1" applyAlignment="1">
      <alignment horizontal="right" vertical="top" shrinkToFit="1"/>
    </xf>
    <xf numFmtId="0" fontId="0" fillId="0" borderId="2" xfId="0" applyBorder="1" applyAlignment="1">
      <alignment horizontal="left" wrapText="1"/>
    </xf>
    <xf numFmtId="1" fontId="11" fillId="0" borderId="0" xfId="0" applyNumberFormat="1" applyFont="1" applyAlignment="1">
      <alignment horizontal="center" vertical="top" shrinkToFit="1"/>
    </xf>
    <xf numFmtId="0" fontId="10" fillId="0" borderId="0" xfId="0" applyFont="1" applyAlignment="1">
      <alignment horizontal="left" vertical="top" wrapText="1"/>
    </xf>
    <xf numFmtId="166" fontId="11" fillId="0" borderId="0" xfId="0" applyNumberFormat="1" applyFont="1" applyAlignment="1">
      <alignment horizontal="right" vertical="top" shrinkToFit="1"/>
    </xf>
    <xf numFmtId="166" fontId="11" fillId="0" borderId="0" xfId="0" applyNumberFormat="1" applyFont="1" applyAlignment="1">
      <alignment horizontal="right" vertical="top" shrinkToFit="1"/>
    </xf>
    <xf numFmtId="166" fontId="11" fillId="0" borderId="1" xfId="0" applyNumberFormat="1" applyFont="1" applyBorder="1" applyAlignment="1">
      <alignment horizontal="right" vertical="top" shrinkToFit="1"/>
    </xf>
    <xf numFmtId="166" fontId="11" fillId="0" borderId="1" xfId="0" applyNumberFormat="1" applyFont="1" applyBorder="1" applyAlignment="1">
      <alignment horizontal="right" vertical="top" shrinkToFit="1"/>
    </xf>
    <xf numFmtId="0" fontId="0" fillId="0" borderId="0" xfId="0" applyAlignment="1">
      <alignment horizontal="left" vertical="center" wrapText="1"/>
    </xf>
    <xf numFmtId="164" fontId="11" fillId="0" borderId="2" xfId="0" applyNumberFormat="1" applyFont="1" applyBorder="1" applyAlignment="1">
      <alignment horizontal="right" vertical="top" shrinkToFit="1"/>
    </xf>
    <xf numFmtId="0" fontId="10" fillId="3" borderId="0" xfId="0" applyFont="1" applyFill="1" applyAlignment="1">
      <alignment horizontal="left" vertical="top" wrapText="1" indent="2"/>
    </xf>
    <xf numFmtId="0" fontId="0" fillId="3" borderId="0" xfId="0" applyFill="1" applyAlignment="1">
      <alignment horizontal="left" wrapText="1"/>
    </xf>
    <xf numFmtId="0" fontId="5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top" wrapText="1" indent="3"/>
    </xf>
    <xf numFmtId="0" fontId="5" fillId="0" borderId="0" xfId="0" applyFont="1" applyAlignment="1">
      <alignment horizontal="left" vertical="center" wrapText="1" indent="1"/>
    </xf>
    <xf numFmtId="164" fontId="11" fillId="0" borderId="3" xfId="0" applyNumberFormat="1" applyFont="1" applyBorder="1" applyAlignment="1">
      <alignment horizontal="left" vertical="top" indent="4" shrinkToFit="1"/>
    </xf>
    <xf numFmtId="164" fontId="11" fillId="0" borderId="3" xfId="0" applyNumberFormat="1" applyFont="1" applyBorder="1" applyAlignment="1">
      <alignment horizontal="right" vertical="top" shrinkToFit="1"/>
    </xf>
    <xf numFmtId="166" fontId="11" fillId="0" borderId="3" xfId="0" applyNumberFormat="1" applyFont="1" applyBorder="1" applyAlignment="1">
      <alignment horizontal="right" vertical="top" shrinkToFit="1"/>
    </xf>
    <xf numFmtId="166" fontId="11" fillId="0" borderId="3" xfId="0" applyNumberFormat="1" applyFont="1" applyBorder="1" applyAlignment="1">
      <alignment horizontal="right" vertical="top" shrinkToFit="1"/>
    </xf>
    <xf numFmtId="164" fontId="11" fillId="0" borderId="2" xfId="0" applyNumberFormat="1" applyFont="1" applyBorder="1" applyAlignment="1">
      <alignment horizontal="left" vertical="top" indent="4" shrinkToFit="1"/>
    </xf>
    <xf numFmtId="0" fontId="0" fillId="3" borderId="0" xfId="0" applyFill="1" applyAlignment="1">
      <alignment horizontal="left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4" fontId="11" fillId="0" borderId="1" xfId="0" applyNumberFormat="1" applyFont="1" applyBorder="1" applyAlignment="1">
      <alignment horizontal="left" vertical="top" indent="4" shrinkToFit="1"/>
    </xf>
    <xf numFmtId="164" fontId="11" fillId="0" borderId="1" xfId="0" applyNumberFormat="1" applyFont="1" applyBorder="1" applyAlignment="1">
      <alignment horizontal="right" vertical="top" shrinkToFit="1"/>
    </xf>
    <xf numFmtId="1" fontId="11" fillId="0" borderId="0" xfId="0" applyNumberFormat="1" applyFont="1" applyAlignment="1">
      <alignment horizontal="left" vertical="top" indent="5" shrinkToFit="1"/>
    </xf>
    <xf numFmtId="166" fontId="11" fillId="0" borderId="0" xfId="0" applyNumberFormat="1" applyFont="1" applyAlignment="1">
      <alignment horizontal="center" vertical="top" shrinkToFit="1"/>
    </xf>
    <xf numFmtId="164" fontId="11" fillId="0" borderId="0" xfId="0" applyNumberFormat="1" applyFont="1" applyAlignment="1">
      <alignment horizontal="right" vertical="top" shrinkToFit="1"/>
    </xf>
    <xf numFmtId="1" fontId="11" fillId="3" borderId="0" xfId="0" applyNumberFormat="1" applyFont="1" applyFill="1" applyAlignment="1">
      <alignment horizontal="left" vertical="top" indent="2" shrinkToFit="1"/>
    </xf>
    <xf numFmtId="0" fontId="10" fillId="3" borderId="0" xfId="0" applyFont="1" applyFill="1" applyAlignment="1">
      <alignment horizontal="left" vertical="top" wrapText="1" indent="1"/>
    </xf>
    <xf numFmtId="166" fontId="11" fillId="0" borderId="2" xfId="0" applyNumberFormat="1" applyFont="1" applyBorder="1" applyAlignment="1">
      <alignment horizontal="left" vertical="top" indent="4" shrinkToFit="1"/>
    </xf>
    <xf numFmtId="166" fontId="11" fillId="0" borderId="0" xfId="0" applyNumberFormat="1" applyFont="1" applyAlignment="1">
      <alignment horizontal="left" vertical="top" indent="4" shrinkToFit="1"/>
    </xf>
    <xf numFmtId="166" fontId="11" fillId="0" borderId="1" xfId="0" applyNumberFormat="1" applyFont="1" applyBorder="1" applyAlignment="1">
      <alignment horizontal="left" vertical="top" indent="4" shrinkToFi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 indent="2"/>
    </xf>
    <xf numFmtId="0" fontId="0" fillId="0" borderId="1" xfId="0" applyBorder="1" applyAlignment="1">
      <alignment horizontal="left" vertical="top" wrapText="1" indent="2"/>
    </xf>
    <xf numFmtId="0" fontId="5" fillId="0" borderId="0" xfId="0" applyFont="1" applyAlignment="1">
      <alignment horizontal="center" vertical="top" wrapText="1"/>
    </xf>
    <xf numFmtId="0" fontId="10" fillId="3" borderId="0" xfId="0" applyFont="1" applyFill="1" applyAlignment="1">
      <alignment horizontal="left" vertical="top" wrapText="1" indent="5"/>
    </xf>
    <xf numFmtId="0" fontId="5" fillId="0" borderId="0" xfId="0" applyFont="1" applyAlignment="1">
      <alignment horizontal="left" vertical="top" wrapText="1" indent="1"/>
    </xf>
    <xf numFmtId="0" fontId="5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top" wrapText="1" indent="1"/>
    </xf>
    <xf numFmtId="164" fontId="11" fillId="0" borderId="3" xfId="0" applyNumberFormat="1" applyFont="1" applyBorder="1" applyAlignment="1">
      <alignment horizontal="left" vertical="top" indent="3" shrinkToFit="1"/>
    </xf>
    <xf numFmtId="164" fontId="11" fillId="0" borderId="2" xfId="0" applyNumberFormat="1" applyFont="1" applyBorder="1" applyAlignment="1">
      <alignment horizontal="left" vertical="top" indent="3" shrinkToFit="1"/>
    </xf>
    <xf numFmtId="0" fontId="0" fillId="0" borderId="0" xfId="0" applyAlignment="1">
      <alignment horizontal="left" vertical="top" wrapText="1" indent="6"/>
    </xf>
    <xf numFmtId="0" fontId="5" fillId="0" borderId="1" xfId="0" applyFont="1" applyBorder="1" applyAlignment="1">
      <alignment horizontal="left" vertical="top" wrapText="1" indent="1"/>
    </xf>
    <xf numFmtId="164" fontId="11" fillId="0" borderId="3" xfId="0" applyNumberFormat="1" applyFont="1" applyBorder="1" applyAlignment="1">
      <alignment horizontal="right" vertical="top" shrinkToFit="1"/>
    </xf>
    <xf numFmtId="164" fontId="11" fillId="0" borderId="2" xfId="0" applyNumberFormat="1" applyFont="1" applyBorder="1" applyAlignment="1">
      <alignment horizontal="right" vertical="top" shrinkToFit="1"/>
    </xf>
    <xf numFmtId="0" fontId="5" fillId="0" borderId="0" xfId="0" applyFont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164" fontId="11" fillId="0" borderId="0" xfId="0" applyNumberFormat="1" applyFont="1" applyAlignment="1">
      <alignment horizontal="right" vertical="top" shrinkToFit="1"/>
    </xf>
    <xf numFmtId="0" fontId="10" fillId="3" borderId="0" xfId="0" applyFont="1" applyFill="1" applyAlignment="1">
      <alignment horizontal="left" vertical="top" wrapText="1" indent="4"/>
    </xf>
    <xf numFmtId="0" fontId="5" fillId="0" borderId="0" xfId="0" applyFont="1" applyAlignment="1">
      <alignment horizontal="left" vertical="top" wrapText="1"/>
    </xf>
    <xf numFmtId="164" fontId="11" fillId="0" borderId="1" xfId="0" applyNumberFormat="1" applyFont="1" applyBorder="1" applyAlignment="1">
      <alignment horizontal="right" vertical="top" shrinkToFit="1"/>
    </xf>
    <xf numFmtId="0" fontId="10" fillId="0" borderId="0" xfId="0" applyFont="1" applyAlignment="1">
      <alignment horizontal="left" vertical="top" wrapText="1" indent="2"/>
    </xf>
    <xf numFmtId="164" fontId="11" fillId="0" borderId="0" xfId="0" applyNumberFormat="1" applyFont="1" applyAlignment="1">
      <alignment horizontal="left" vertical="top" indent="4" shrinkToFit="1"/>
    </xf>
    <xf numFmtId="0" fontId="5" fillId="0" borderId="0" xfId="0" applyFont="1" applyAlignment="1">
      <alignment horizontal="left" vertical="center" wrapText="1" indent="8"/>
    </xf>
    <xf numFmtId="0" fontId="5" fillId="0" borderId="1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166" fontId="11" fillId="0" borderId="3" xfId="0" applyNumberFormat="1" applyFont="1" applyBorder="1" applyAlignment="1">
      <alignment horizontal="left" vertical="top" indent="4" shrinkToFit="1"/>
    </xf>
    <xf numFmtId="1" fontId="11" fillId="3" borderId="0" xfId="0" applyNumberFormat="1" applyFont="1" applyFill="1" applyAlignment="1">
      <alignment horizontal="right" vertical="top" shrinkToFit="1"/>
    </xf>
    <xf numFmtId="0" fontId="5" fillId="0" borderId="0" xfId="0" applyFont="1" applyAlignment="1">
      <alignment horizontal="left" vertical="top" wrapText="1" indent="7"/>
    </xf>
    <xf numFmtId="0" fontId="5" fillId="0" borderId="0" xfId="0" applyFont="1" applyAlignment="1">
      <alignment horizontal="center" vertical="top" wrapText="1"/>
    </xf>
  </cellXfs>
  <cellStyles count="5">
    <cellStyle name="Normal" xfId="0" builtinId="0"/>
    <cellStyle name="Normal 2" xfId="1" xr:uid="{A2957591-6609-483F-82A5-0DD400BFDD5D}"/>
    <cellStyle name="Normal 3" xfId="2" xr:uid="{1652E6C6-F664-4BEA-A273-3D3F3F3ACD82}"/>
    <cellStyle name="Normal 4" xfId="3" xr:uid="{B10709A4-E9FB-4517-A144-F5027AF79431}"/>
    <cellStyle name="Normal 5" xfId="4" xr:uid="{3B167F50-03F6-4B1E-87E4-0389678707D8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125603</xdr:colOff>
      <xdr:row>21</xdr:row>
      <xdr:rowOff>15620</xdr:rowOff>
    </xdr:from>
    <xdr:ext cx="114300" cy="114300"/>
    <xdr:pic>
      <xdr:nvPicPr>
        <xdr:cNvPr id="2" name="image1.png">
          <a:extLst>
            <a:ext uri="{FF2B5EF4-FFF2-40B4-BE49-F238E27FC236}">
              <a16:creationId xmlns:a16="http://schemas.microsoft.com/office/drawing/2014/main" id="{17EE9943-A95C-40A0-9645-B70508276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7698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23</xdr:row>
      <xdr:rowOff>324103</xdr:rowOff>
    </xdr:from>
    <xdr:ext cx="2141855" cy="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4648B6FD-B552-479D-9E34-E43E6D0104F4}"/>
            </a:ext>
          </a:extLst>
        </xdr:cNvPr>
        <xdr:cNvSpPr/>
      </xdr:nvSpPr>
      <xdr:spPr>
        <a:xfrm>
          <a:off x="1668834" y="39512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23</xdr:row>
      <xdr:rowOff>323850</xdr:rowOff>
    </xdr:from>
    <xdr:ext cx="828675" cy="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628942CA-4766-431C-8A1A-8E97C28A5EAD}"/>
            </a:ext>
          </a:extLst>
        </xdr:cNvPr>
        <xdr:cNvSpPr/>
      </xdr:nvSpPr>
      <xdr:spPr>
        <a:xfrm>
          <a:off x="548640" y="3950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23</xdr:row>
      <xdr:rowOff>323850</xdr:rowOff>
    </xdr:from>
    <xdr:ext cx="371475" cy="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7C836D8B-7799-4B83-B3CB-0DBCAB18AFD6}"/>
            </a:ext>
          </a:extLst>
        </xdr:cNvPr>
        <xdr:cNvSpPr/>
      </xdr:nvSpPr>
      <xdr:spPr>
        <a:xfrm>
          <a:off x="8837421" y="3950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25</xdr:row>
      <xdr:rowOff>21971</xdr:rowOff>
    </xdr:from>
    <xdr:ext cx="114300" cy="114300"/>
    <xdr:pic>
      <xdr:nvPicPr>
        <xdr:cNvPr id="6" name="image1.png">
          <a:extLst>
            <a:ext uri="{FF2B5EF4-FFF2-40B4-BE49-F238E27FC236}">
              <a16:creationId xmlns:a16="http://schemas.microsoft.com/office/drawing/2014/main" id="{B56A2BF6-8EE9-4FDA-B219-5C3385659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67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28</xdr:row>
      <xdr:rowOff>253</xdr:rowOff>
    </xdr:from>
    <xdr:ext cx="2141855" cy="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93774CFF-8B94-4266-85CD-3151FCA4D919}"/>
            </a:ext>
          </a:extLst>
        </xdr:cNvPr>
        <xdr:cNvSpPr/>
      </xdr:nvSpPr>
      <xdr:spPr>
        <a:xfrm>
          <a:off x="1645920" y="4838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</xdr:row>
      <xdr:rowOff>0</xdr:rowOff>
    </xdr:from>
    <xdr:ext cx="828675" cy="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FF065C46-C1C8-4507-80C4-60E885520F8A}"/>
            </a:ext>
          </a:extLst>
        </xdr:cNvPr>
        <xdr:cNvSpPr/>
      </xdr:nvSpPr>
      <xdr:spPr>
        <a:xfrm>
          <a:off x="550037" y="4838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</xdr:row>
      <xdr:rowOff>0</xdr:rowOff>
    </xdr:from>
    <xdr:ext cx="371475" cy="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AB5D7F12-E3FC-4ACE-A7D6-7C9D2BF9A2F1}"/>
            </a:ext>
          </a:extLst>
        </xdr:cNvPr>
        <xdr:cNvSpPr/>
      </xdr:nvSpPr>
      <xdr:spPr>
        <a:xfrm>
          <a:off x="8854440" y="4838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</xdr:row>
      <xdr:rowOff>15621</xdr:rowOff>
    </xdr:from>
    <xdr:ext cx="114300" cy="114300"/>
    <xdr:pic>
      <xdr:nvPicPr>
        <xdr:cNvPr id="10" name="image1.png">
          <a:extLst>
            <a:ext uri="{FF2B5EF4-FFF2-40B4-BE49-F238E27FC236}">
              <a16:creationId xmlns:a16="http://schemas.microsoft.com/office/drawing/2014/main" id="{9AB99889-3CB8-40E2-AEA3-79ED1608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04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32</xdr:row>
      <xdr:rowOff>324103</xdr:rowOff>
    </xdr:from>
    <xdr:ext cx="2141855" cy="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43DDE87E-5FA1-4742-BFAC-F57D8EEF838C}"/>
            </a:ext>
          </a:extLst>
        </xdr:cNvPr>
        <xdr:cNvSpPr/>
      </xdr:nvSpPr>
      <xdr:spPr>
        <a:xfrm>
          <a:off x="1668834" y="58790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32</xdr:row>
      <xdr:rowOff>323850</xdr:rowOff>
    </xdr:from>
    <xdr:ext cx="828675" cy="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DE92DECE-CE98-41C1-817F-E36F84A214DA}"/>
            </a:ext>
          </a:extLst>
        </xdr:cNvPr>
        <xdr:cNvSpPr/>
      </xdr:nvSpPr>
      <xdr:spPr>
        <a:xfrm>
          <a:off x="548640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32</xdr:row>
      <xdr:rowOff>323850</xdr:rowOff>
    </xdr:from>
    <xdr:ext cx="828675" cy="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C3BD0F6D-F921-4D62-927D-C1837A9811A9}"/>
            </a:ext>
          </a:extLst>
        </xdr:cNvPr>
        <xdr:cNvSpPr/>
      </xdr:nvSpPr>
      <xdr:spPr>
        <a:xfrm>
          <a:off x="7742681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32</xdr:row>
      <xdr:rowOff>323850</xdr:rowOff>
    </xdr:from>
    <xdr:ext cx="371475" cy="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9BD8FB5F-92D8-4362-AFD3-1B8AE451239F}"/>
            </a:ext>
          </a:extLst>
        </xdr:cNvPr>
        <xdr:cNvSpPr/>
      </xdr:nvSpPr>
      <xdr:spPr>
        <a:xfrm>
          <a:off x="8837421" y="58788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39</xdr:row>
      <xdr:rowOff>2920</xdr:rowOff>
    </xdr:from>
    <xdr:ext cx="828675" cy="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D1DF6C90-592F-42B0-A843-A6D127074B35}"/>
            </a:ext>
          </a:extLst>
        </xdr:cNvPr>
        <xdr:cNvSpPr/>
      </xdr:nvSpPr>
      <xdr:spPr>
        <a:xfrm>
          <a:off x="7741920" y="68304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39</xdr:row>
      <xdr:rowOff>21970</xdr:rowOff>
    </xdr:from>
    <xdr:ext cx="114300" cy="114300"/>
    <xdr:pic>
      <xdr:nvPicPr>
        <xdr:cNvPr id="16" name="image1.png">
          <a:extLst>
            <a:ext uri="{FF2B5EF4-FFF2-40B4-BE49-F238E27FC236}">
              <a16:creationId xmlns:a16="http://schemas.microsoft.com/office/drawing/2014/main" id="{2CA27A62-00B2-490F-85CF-CE3FCB2AE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684949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45</xdr:row>
      <xdr:rowOff>15620</xdr:rowOff>
    </xdr:from>
    <xdr:ext cx="114300" cy="114300"/>
    <xdr:pic>
      <xdr:nvPicPr>
        <xdr:cNvPr id="17" name="image1.png">
          <a:extLst>
            <a:ext uri="{FF2B5EF4-FFF2-40B4-BE49-F238E27FC236}">
              <a16:creationId xmlns:a16="http://schemas.microsoft.com/office/drawing/2014/main" id="{4FC99BA6-86DA-4578-B387-BA0FDE228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3948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48</xdr:row>
      <xdr:rowOff>260350</xdr:rowOff>
    </xdr:from>
    <xdr:ext cx="828675" cy="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58649774-EFAD-4665-AFF2-19DD3E1BA527}"/>
            </a:ext>
          </a:extLst>
        </xdr:cNvPr>
        <xdr:cNvSpPr/>
      </xdr:nvSpPr>
      <xdr:spPr>
        <a:xfrm>
          <a:off x="551688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48</xdr:row>
      <xdr:rowOff>260603</xdr:rowOff>
    </xdr:from>
    <xdr:ext cx="2141855" cy="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8A806364-3175-4C69-99B9-169C65078E13}"/>
            </a:ext>
          </a:extLst>
        </xdr:cNvPr>
        <xdr:cNvSpPr/>
      </xdr:nvSpPr>
      <xdr:spPr>
        <a:xfrm>
          <a:off x="1645920" y="86349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48</xdr:row>
      <xdr:rowOff>260350</xdr:rowOff>
    </xdr:from>
    <xdr:ext cx="828675" cy="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CCE375E6-F488-4806-B205-AF405FC18A98}"/>
            </a:ext>
          </a:extLst>
        </xdr:cNvPr>
        <xdr:cNvSpPr/>
      </xdr:nvSpPr>
      <xdr:spPr>
        <a:xfrm>
          <a:off x="550037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48</xdr:row>
      <xdr:rowOff>260350</xdr:rowOff>
    </xdr:from>
    <xdr:ext cx="828675" cy="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F1A8721B-8D12-4ED7-82E2-BE75C1CC12D4}"/>
            </a:ext>
          </a:extLst>
        </xdr:cNvPr>
        <xdr:cNvSpPr/>
      </xdr:nvSpPr>
      <xdr:spPr>
        <a:xfrm>
          <a:off x="774192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48</xdr:row>
      <xdr:rowOff>260350</xdr:rowOff>
    </xdr:from>
    <xdr:ext cx="828675" cy="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3FB363E8-63B2-451E-8AA5-09BFDFFDFDC8}"/>
            </a:ext>
          </a:extLst>
        </xdr:cNvPr>
        <xdr:cNvSpPr/>
      </xdr:nvSpPr>
      <xdr:spPr>
        <a:xfrm>
          <a:off x="4419663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48</xdr:row>
      <xdr:rowOff>260350</xdr:rowOff>
    </xdr:from>
    <xdr:ext cx="828675" cy="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C0F6EBDE-C9C2-4679-865B-0254CBA3CF7C}"/>
            </a:ext>
          </a:extLst>
        </xdr:cNvPr>
        <xdr:cNvSpPr/>
      </xdr:nvSpPr>
      <xdr:spPr>
        <a:xfrm>
          <a:off x="662940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</xdr:row>
      <xdr:rowOff>260350</xdr:rowOff>
    </xdr:from>
    <xdr:ext cx="371475" cy="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6D4175C3-D911-4654-9E32-5985854C3EDD}"/>
            </a:ext>
          </a:extLst>
        </xdr:cNvPr>
        <xdr:cNvSpPr/>
      </xdr:nvSpPr>
      <xdr:spPr>
        <a:xfrm>
          <a:off x="8854440" y="86347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</xdr:row>
      <xdr:rowOff>21970</xdr:rowOff>
    </xdr:from>
    <xdr:ext cx="114300" cy="114300"/>
    <xdr:pic>
      <xdr:nvPicPr>
        <xdr:cNvPr id="25" name="image1.png">
          <a:extLst>
            <a:ext uri="{FF2B5EF4-FFF2-40B4-BE49-F238E27FC236}">
              <a16:creationId xmlns:a16="http://schemas.microsoft.com/office/drawing/2014/main" id="{A018C273-4121-441E-B838-8D1229627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4593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52</xdr:row>
      <xdr:rowOff>253</xdr:rowOff>
    </xdr:from>
    <xdr:ext cx="2141855" cy="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DE0B5A55-98B2-435A-A67E-E84443F1AD57}"/>
            </a:ext>
          </a:extLst>
        </xdr:cNvPr>
        <xdr:cNvSpPr/>
      </xdr:nvSpPr>
      <xdr:spPr>
        <a:xfrm>
          <a:off x="1667388" y="95176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52</xdr:row>
      <xdr:rowOff>0</xdr:rowOff>
    </xdr:from>
    <xdr:ext cx="828675" cy="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EE4F8C37-D794-4B46-9058-141961D866FA}"/>
            </a:ext>
          </a:extLst>
        </xdr:cNvPr>
        <xdr:cNvSpPr/>
      </xdr:nvSpPr>
      <xdr:spPr>
        <a:xfrm>
          <a:off x="489305" y="95173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</xdr:row>
      <xdr:rowOff>0</xdr:rowOff>
    </xdr:from>
    <xdr:ext cx="371475" cy="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4D13E475-61D9-4BFE-92B9-8F0079BF3D88}"/>
            </a:ext>
          </a:extLst>
        </xdr:cNvPr>
        <xdr:cNvSpPr/>
      </xdr:nvSpPr>
      <xdr:spPr>
        <a:xfrm>
          <a:off x="8854440" y="95173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53</xdr:row>
      <xdr:rowOff>15620</xdr:rowOff>
    </xdr:from>
    <xdr:ext cx="114300" cy="114300"/>
    <xdr:pic>
      <xdr:nvPicPr>
        <xdr:cNvPr id="29" name="image1.png">
          <a:extLst>
            <a:ext uri="{FF2B5EF4-FFF2-40B4-BE49-F238E27FC236}">
              <a16:creationId xmlns:a16="http://schemas.microsoft.com/office/drawing/2014/main" id="{D30D7390-AE59-4B47-8453-639715BDD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3112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56</xdr:row>
      <xdr:rowOff>6603</xdr:rowOff>
    </xdr:from>
    <xdr:ext cx="2141855" cy="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D48AC825-07D4-4056-BE2A-49A88AC74A88}"/>
            </a:ext>
          </a:extLst>
        </xdr:cNvPr>
        <xdr:cNvSpPr/>
      </xdr:nvSpPr>
      <xdr:spPr>
        <a:xfrm>
          <a:off x="1667388" y="104002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56</xdr:row>
      <xdr:rowOff>6350</xdr:rowOff>
    </xdr:from>
    <xdr:ext cx="828675" cy="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2BE8A59F-DA2B-4C25-96E5-75093152FB6E}"/>
            </a:ext>
          </a:extLst>
        </xdr:cNvPr>
        <xdr:cNvSpPr/>
      </xdr:nvSpPr>
      <xdr:spPr>
        <a:xfrm>
          <a:off x="550037" y="104000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56</xdr:row>
      <xdr:rowOff>6350</xdr:rowOff>
    </xdr:from>
    <xdr:ext cx="371475" cy="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7417502D-B280-4699-8169-08D44F3F2AEA}"/>
            </a:ext>
          </a:extLst>
        </xdr:cNvPr>
        <xdr:cNvSpPr/>
      </xdr:nvSpPr>
      <xdr:spPr>
        <a:xfrm>
          <a:off x="8854440" y="104000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58</xdr:row>
      <xdr:rowOff>21970</xdr:rowOff>
    </xdr:from>
    <xdr:ext cx="114300" cy="114300"/>
    <xdr:pic>
      <xdr:nvPicPr>
        <xdr:cNvPr id="33" name="image1.png">
          <a:extLst>
            <a:ext uri="{FF2B5EF4-FFF2-40B4-BE49-F238E27FC236}">
              <a16:creationId xmlns:a16="http://schemas.microsoft.com/office/drawing/2014/main" id="{0B5D8DE9-FB6D-4CAF-A331-2C9C9982E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66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61</xdr:row>
      <xdr:rowOff>253</xdr:rowOff>
    </xdr:from>
    <xdr:ext cx="2141855" cy="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ABCBCC7E-0D6E-4C78-A198-BF0099F22B23}"/>
            </a:ext>
          </a:extLst>
        </xdr:cNvPr>
        <xdr:cNvSpPr/>
      </xdr:nvSpPr>
      <xdr:spPr>
        <a:xfrm>
          <a:off x="1650745" y="114378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61</xdr:row>
      <xdr:rowOff>0</xdr:rowOff>
    </xdr:from>
    <xdr:ext cx="828675" cy="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BA728A2F-23DB-4559-9416-1262CE496263}"/>
            </a:ext>
          </a:extLst>
        </xdr:cNvPr>
        <xdr:cNvSpPr/>
      </xdr:nvSpPr>
      <xdr:spPr>
        <a:xfrm>
          <a:off x="550037" y="11437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61</xdr:row>
      <xdr:rowOff>0</xdr:rowOff>
    </xdr:from>
    <xdr:ext cx="371475" cy="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F0F61AD6-7A58-4CA7-B4C6-01B027E63B75}"/>
            </a:ext>
          </a:extLst>
        </xdr:cNvPr>
        <xdr:cNvSpPr/>
      </xdr:nvSpPr>
      <xdr:spPr>
        <a:xfrm>
          <a:off x="8854440" y="11437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62</xdr:row>
      <xdr:rowOff>15620</xdr:rowOff>
    </xdr:from>
    <xdr:ext cx="114300" cy="114300"/>
    <xdr:pic>
      <xdr:nvPicPr>
        <xdr:cNvPr id="37" name="image1.png">
          <a:extLst>
            <a:ext uri="{FF2B5EF4-FFF2-40B4-BE49-F238E27FC236}">
              <a16:creationId xmlns:a16="http://schemas.microsoft.com/office/drawing/2014/main" id="{7D60D00D-085E-4285-A9D1-8734685BB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16513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65</xdr:row>
      <xdr:rowOff>6603</xdr:rowOff>
    </xdr:from>
    <xdr:ext cx="2141855" cy="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4CFE3953-97C1-46CC-A878-4049EED878C8}"/>
            </a:ext>
          </a:extLst>
        </xdr:cNvPr>
        <xdr:cNvSpPr/>
      </xdr:nvSpPr>
      <xdr:spPr>
        <a:xfrm>
          <a:off x="1650745" y="123205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65</xdr:row>
      <xdr:rowOff>6350</xdr:rowOff>
    </xdr:from>
    <xdr:ext cx="828675" cy="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FC0B8DE-B7CD-40F5-964F-97EBB99840EA}"/>
            </a:ext>
          </a:extLst>
        </xdr:cNvPr>
        <xdr:cNvSpPr/>
      </xdr:nvSpPr>
      <xdr:spPr>
        <a:xfrm>
          <a:off x="550037" y="12320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65</xdr:row>
      <xdr:rowOff>6350</xdr:rowOff>
    </xdr:from>
    <xdr:ext cx="371475" cy="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A0ECC449-E1D8-4B3C-A826-B7C2C28AB2E6}"/>
            </a:ext>
          </a:extLst>
        </xdr:cNvPr>
        <xdr:cNvSpPr/>
      </xdr:nvSpPr>
      <xdr:spPr>
        <a:xfrm>
          <a:off x="8854440" y="123202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67</xdr:row>
      <xdr:rowOff>21970</xdr:rowOff>
    </xdr:from>
    <xdr:ext cx="114300" cy="114300"/>
    <xdr:pic>
      <xdr:nvPicPr>
        <xdr:cNvPr id="41" name="image1.png">
          <a:extLst>
            <a:ext uri="{FF2B5EF4-FFF2-40B4-BE49-F238E27FC236}">
              <a16:creationId xmlns:a16="http://schemas.microsoft.com/office/drawing/2014/main" id="{03645B0A-259A-4F5B-846A-F5741EB5D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2686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70</xdr:row>
      <xdr:rowOff>253</xdr:rowOff>
    </xdr:from>
    <xdr:ext cx="2141855" cy="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0767F5B2-2B82-4BF5-9C9A-38077A0352A9}"/>
            </a:ext>
          </a:extLst>
        </xdr:cNvPr>
        <xdr:cNvSpPr/>
      </xdr:nvSpPr>
      <xdr:spPr>
        <a:xfrm>
          <a:off x="1650745" y="133581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70</xdr:row>
      <xdr:rowOff>0</xdr:rowOff>
    </xdr:from>
    <xdr:ext cx="828675" cy="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8F69A847-28DE-4876-868F-290FF82F7707}"/>
            </a:ext>
          </a:extLst>
        </xdr:cNvPr>
        <xdr:cNvSpPr/>
      </xdr:nvSpPr>
      <xdr:spPr>
        <a:xfrm>
          <a:off x="550037" y="13357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70</xdr:row>
      <xdr:rowOff>0</xdr:rowOff>
    </xdr:from>
    <xdr:ext cx="371475" cy="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CDECD0E7-D6A1-4589-8369-308D02B59DB2}"/>
            </a:ext>
          </a:extLst>
        </xdr:cNvPr>
        <xdr:cNvSpPr/>
      </xdr:nvSpPr>
      <xdr:spPr>
        <a:xfrm>
          <a:off x="8854440" y="13357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71</xdr:row>
      <xdr:rowOff>15621</xdr:rowOff>
    </xdr:from>
    <xdr:ext cx="114300" cy="114300"/>
    <xdr:pic>
      <xdr:nvPicPr>
        <xdr:cNvPr id="45" name="image1.png">
          <a:extLst>
            <a:ext uri="{FF2B5EF4-FFF2-40B4-BE49-F238E27FC236}">
              <a16:creationId xmlns:a16="http://schemas.microsoft.com/office/drawing/2014/main" id="{8B51775A-10C7-45DC-8A0C-70D8D0B81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357160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74</xdr:row>
      <xdr:rowOff>6603</xdr:rowOff>
    </xdr:from>
    <xdr:ext cx="2141855" cy="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94C622C2-88B7-49BF-B7F5-DBDFF11C9E0D}"/>
            </a:ext>
          </a:extLst>
        </xdr:cNvPr>
        <xdr:cNvSpPr/>
      </xdr:nvSpPr>
      <xdr:spPr>
        <a:xfrm>
          <a:off x="1650745" y="142407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74</xdr:row>
      <xdr:rowOff>6349</xdr:rowOff>
    </xdr:from>
    <xdr:ext cx="828675" cy="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57EA0363-0862-4671-BE85-9032538284A6}"/>
            </a:ext>
          </a:extLst>
        </xdr:cNvPr>
        <xdr:cNvSpPr/>
      </xdr:nvSpPr>
      <xdr:spPr>
        <a:xfrm>
          <a:off x="550037" y="1424050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74</xdr:row>
      <xdr:rowOff>6349</xdr:rowOff>
    </xdr:from>
    <xdr:ext cx="371475" cy="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78463463-2BD1-4B5C-91C2-43BF7DA42EAA}"/>
            </a:ext>
          </a:extLst>
        </xdr:cNvPr>
        <xdr:cNvSpPr/>
      </xdr:nvSpPr>
      <xdr:spPr>
        <a:xfrm>
          <a:off x="8854440" y="1424050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75</xdr:row>
      <xdr:rowOff>21971</xdr:rowOff>
    </xdr:from>
    <xdr:ext cx="114300" cy="114300"/>
    <xdr:pic>
      <xdr:nvPicPr>
        <xdr:cNvPr id="49" name="image1.png">
          <a:extLst>
            <a:ext uri="{FF2B5EF4-FFF2-40B4-BE49-F238E27FC236}">
              <a16:creationId xmlns:a16="http://schemas.microsoft.com/office/drawing/2014/main" id="{011003A1-B65B-4EB1-8DA6-B0E897500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4454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78</xdr:row>
      <xdr:rowOff>253</xdr:rowOff>
    </xdr:from>
    <xdr:ext cx="2141855" cy="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D0A6D5F6-9EF8-4577-8190-4CC493D07112}"/>
            </a:ext>
          </a:extLst>
        </xdr:cNvPr>
        <xdr:cNvSpPr/>
      </xdr:nvSpPr>
      <xdr:spPr>
        <a:xfrm>
          <a:off x="1646173" y="15125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78</xdr:row>
      <xdr:rowOff>0</xdr:rowOff>
    </xdr:from>
    <xdr:ext cx="828675" cy="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BAAE6E4C-7A29-45B7-8CF1-044E89754082}"/>
            </a:ext>
          </a:extLst>
        </xdr:cNvPr>
        <xdr:cNvSpPr/>
      </xdr:nvSpPr>
      <xdr:spPr>
        <a:xfrm>
          <a:off x="489305" y="15125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78</xdr:row>
      <xdr:rowOff>0</xdr:rowOff>
    </xdr:from>
    <xdr:ext cx="371475" cy="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33C79BE3-C622-437F-B327-CF0052883A83}"/>
            </a:ext>
          </a:extLst>
        </xdr:cNvPr>
        <xdr:cNvSpPr/>
      </xdr:nvSpPr>
      <xdr:spPr>
        <a:xfrm>
          <a:off x="8854440" y="15125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80</xdr:row>
      <xdr:rowOff>15621</xdr:rowOff>
    </xdr:from>
    <xdr:ext cx="114300" cy="114300"/>
    <xdr:pic>
      <xdr:nvPicPr>
        <xdr:cNvPr id="53" name="image1.png">
          <a:extLst>
            <a:ext uri="{FF2B5EF4-FFF2-40B4-BE49-F238E27FC236}">
              <a16:creationId xmlns:a16="http://schemas.microsoft.com/office/drawing/2014/main" id="{B66E1328-D1B3-4BA2-82A9-A8D307B6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5491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83</xdr:row>
      <xdr:rowOff>6603</xdr:rowOff>
    </xdr:from>
    <xdr:ext cx="2141855" cy="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31B4EE76-6AD3-441E-A7C8-DBC923065726}"/>
            </a:ext>
          </a:extLst>
        </xdr:cNvPr>
        <xdr:cNvSpPr/>
      </xdr:nvSpPr>
      <xdr:spPr>
        <a:xfrm>
          <a:off x="1646173" y="161610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83</xdr:row>
      <xdr:rowOff>6349</xdr:rowOff>
    </xdr:from>
    <xdr:ext cx="828675" cy="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435D8A7D-92B3-455A-ADE1-350AE4FE8BA8}"/>
            </a:ext>
          </a:extLst>
        </xdr:cNvPr>
        <xdr:cNvSpPr/>
      </xdr:nvSpPr>
      <xdr:spPr>
        <a:xfrm>
          <a:off x="550037" y="161607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83</xdr:row>
      <xdr:rowOff>6349</xdr:rowOff>
    </xdr:from>
    <xdr:ext cx="371475" cy="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6B92CD02-AAE2-411A-879E-7DA5ACF1ADF1}"/>
            </a:ext>
          </a:extLst>
        </xdr:cNvPr>
        <xdr:cNvSpPr/>
      </xdr:nvSpPr>
      <xdr:spPr>
        <a:xfrm>
          <a:off x="8854440" y="161607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86</xdr:row>
      <xdr:rowOff>21971</xdr:rowOff>
    </xdr:from>
    <xdr:ext cx="114300" cy="114300"/>
    <xdr:pic>
      <xdr:nvPicPr>
        <xdr:cNvPr id="57" name="image1.png">
          <a:extLst>
            <a:ext uri="{FF2B5EF4-FFF2-40B4-BE49-F238E27FC236}">
              <a16:creationId xmlns:a16="http://schemas.microsoft.com/office/drawing/2014/main" id="{043977CA-EBC0-4893-84D6-998525F75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667929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89</xdr:row>
      <xdr:rowOff>260604</xdr:rowOff>
    </xdr:from>
    <xdr:ext cx="2141855" cy="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982FE2DF-1B54-4342-B49B-7320505DD8EA}"/>
            </a:ext>
          </a:extLst>
        </xdr:cNvPr>
        <xdr:cNvSpPr/>
      </xdr:nvSpPr>
      <xdr:spPr>
        <a:xfrm>
          <a:off x="1613874" y="172684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89</xdr:row>
      <xdr:rowOff>260350</xdr:rowOff>
    </xdr:from>
    <xdr:ext cx="828675" cy="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312B1F9F-BD9C-4A01-9CC4-0D7138D5904B}"/>
            </a:ext>
          </a:extLst>
        </xdr:cNvPr>
        <xdr:cNvSpPr/>
      </xdr:nvSpPr>
      <xdr:spPr>
        <a:xfrm>
          <a:off x="5500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63337</xdr:colOff>
      <xdr:row>89</xdr:row>
      <xdr:rowOff>260350</xdr:rowOff>
    </xdr:from>
    <xdr:ext cx="828675" cy="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C2CA3AD2-024A-47B5-902F-24AD2915D8FB}"/>
            </a:ext>
          </a:extLst>
        </xdr:cNvPr>
        <xdr:cNvSpPr/>
      </xdr:nvSpPr>
      <xdr:spPr>
        <a:xfrm>
          <a:off x="44067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89</xdr:row>
      <xdr:rowOff>260350</xdr:rowOff>
    </xdr:from>
    <xdr:ext cx="371475" cy="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792ABCE9-F42A-40F4-AD0A-055ED6B6FF6A}"/>
            </a:ext>
          </a:extLst>
        </xdr:cNvPr>
        <xdr:cNvSpPr/>
      </xdr:nvSpPr>
      <xdr:spPr>
        <a:xfrm>
          <a:off x="8837421" y="172681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92</xdr:row>
      <xdr:rowOff>327279</xdr:rowOff>
    </xdr:from>
    <xdr:ext cx="2141855" cy="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FE7DC31A-F9A4-40C3-9EF5-190772E57B67}"/>
            </a:ext>
          </a:extLst>
        </xdr:cNvPr>
        <xdr:cNvSpPr/>
      </xdr:nvSpPr>
      <xdr:spPr>
        <a:xfrm>
          <a:off x="1650745" y="1783803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92</xdr:row>
      <xdr:rowOff>327025</xdr:rowOff>
    </xdr:from>
    <xdr:ext cx="828675" cy="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6CFDDFF5-4E91-41F0-8216-F00DDDE71102}"/>
            </a:ext>
          </a:extLst>
        </xdr:cNvPr>
        <xdr:cNvSpPr/>
      </xdr:nvSpPr>
      <xdr:spPr>
        <a:xfrm>
          <a:off x="550037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92</xdr:row>
      <xdr:rowOff>327025</xdr:rowOff>
    </xdr:from>
    <xdr:ext cx="828675" cy="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A8C27AEF-6C45-4870-B612-B4EF3EB240F6}"/>
            </a:ext>
          </a:extLst>
        </xdr:cNvPr>
        <xdr:cNvSpPr/>
      </xdr:nvSpPr>
      <xdr:spPr>
        <a:xfrm>
          <a:off x="4403808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92</xdr:row>
      <xdr:rowOff>327025</xdr:rowOff>
    </xdr:from>
    <xdr:ext cx="371475" cy="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66047567-683E-44D4-8519-33F3E62A134A}"/>
            </a:ext>
          </a:extLst>
        </xdr:cNvPr>
        <xdr:cNvSpPr/>
      </xdr:nvSpPr>
      <xdr:spPr>
        <a:xfrm>
          <a:off x="8854440" y="1783778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94</xdr:row>
      <xdr:rowOff>6350</xdr:rowOff>
    </xdr:from>
    <xdr:ext cx="828675" cy="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0D91FB12-AABA-4CEC-8DD9-A5FA8620B87B}"/>
            </a:ext>
          </a:extLst>
        </xdr:cNvPr>
        <xdr:cNvSpPr/>
      </xdr:nvSpPr>
      <xdr:spPr>
        <a:xfrm>
          <a:off x="4424807" y="18035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94</xdr:row>
      <xdr:rowOff>25146</xdr:rowOff>
    </xdr:from>
    <xdr:ext cx="114300" cy="114300"/>
    <xdr:pic>
      <xdr:nvPicPr>
        <xdr:cNvPr id="67" name="image1.png">
          <a:extLst>
            <a:ext uri="{FF2B5EF4-FFF2-40B4-BE49-F238E27FC236}">
              <a16:creationId xmlns:a16="http://schemas.microsoft.com/office/drawing/2014/main" id="{C22DDCEB-C3DD-4DD8-BB66-F40F7F4DA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05406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97</xdr:row>
      <xdr:rowOff>3429</xdr:rowOff>
    </xdr:from>
    <xdr:ext cx="2141855" cy="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320194C5-2924-487C-BADF-8D2E7F24928C}"/>
            </a:ext>
          </a:extLst>
        </xdr:cNvPr>
        <xdr:cNvSpPr/>
      </xdr:nvSpPr>
      <xdr:spPr>
        <a:xfrm>
          <a:off x="1650745" y="187257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97</xdr:row>
      <xdr:rowOff>3175</xdr:rowOff>
    </xdr:from>
    <xdr:ext cx="828675" cy="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7424C788-9A9C-40D3-9CFF-BFC037618152}"/>
            </a:ext>
          </a:extLst>
        </xdr:cNvPr>
        <xdr:cNvSpPr/>
      </xdr:nvSpPr>
      <xdr:spPr>
        <a:xfrm>
          <a:off x="550037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97</xdr:row>
      <xdr:rowOff>3175</xdr:rowOff>
    </xdr:from>
    <xdr:ext cx="828675" cy="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E995FD18-D42F-4964-ACD2-E9DABBA12A58}"/>
            </a:ext>
          </a:extLst>
        </xdr:cNvPr>
        <xdr:cNvSpPr/>
      </xdr:nvSpPr>
      <xdr:spPr>
        <a:xfrm>
          <a:off x="4403808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97</xdr:row>
      <xdr:rowOff>3175</xdr:rowOff>
    </xdr:from>
    <xdr:ext cx="371475" cy="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C54B0696-A8D0-4C24-A6C4-20ABD87CBA07}"/>
            </a:ext>
          </a:extLst>
        </xdr:cNvPr>
        <xdr:cNvSpPr/>
      </xdr:nvSpPr>
      <xdr:spPr>
        <a:xfrm>
          <a:off x="8854440" y="187255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98</xdr:row>
      <xdr:rowOff>0</xdr:rowOff>
    </xdr:from>
    <xdr:ext cx="828675" cy="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85C9EB25-3BEC-40F4-9AC6-8CDE23FE844A}"/>
            </a:ext>
          </a:extLst>
        </xdr:cNvPr>
        <xdr:cNvSpPr/>
      </xdr:nvSpPr>
      <xdr:spPr>
        <a:xfrm>
          <a:off x="4424807" y="189204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98</xdr:row>
      <xdr:rowOff>18796</xdr:rowOff>
    </xdr:from>
    <xdr:ext cx="114300" cy="114300"/>
    <xdr:pic>
      <xdr:nvPicPr>
        <xdr:cNvPr id="73" name="image1.png">
          <a:extLst>
            <a:ext uri="{FF2B5EF4-FFF2-40B4-BE49-F238E27FC236}">
              <a16:creationId xmlns:a16="http://schemas.microsoft.com/office/drawing/2014/main" id="{4DAF5540-2CE2-43FC-9B18-7DC7C2693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93925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100</xdr:row>
      <xdr:rowOff>327279</xdr:rowOff>
    </xdr:from>
    <xdr:ext cx="2141855" cy="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99CEF83C-A27C-4C94-861C-D590541304D1}"/>
            </a:ext>
          </a:extLst>
        </xdr:cNvPr>
        <xdr:cNvSpPr/>
      </xdr:nvSpPr>
      <xdr:spPr>
        <a:xfrm>
          <a:off x="1650745" y="196134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100</xdr:row>
      <xdr:rowOff>327025</xdr:rowOff>
    </xdr:from>
    <xdr:ext cx="828675" cy="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441606D8-4A06-411E-8141-8DF0504ADA9C}"/>
            </a:ext>
          </a:extLst>
        </xdr:cNvPr>
        <xdr:cNvSpPr/>
      </xdr:nvSpPr>
      <xdr:spPr>
        <a:xfrm>
          <a:off x="550037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100</xdr:row>
      <xdr:rowOff>327025</xdr:rowOff>
    </xdr:from>
    <xdr:ext cx="828675" cy="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474FCDAA-1E3B-46C7-A33F-617610CD2262}"/>
            </a:ext>
          </a:extLst>
        </xdr:cNvPr>
        <xdr:cNvSpPr/>
      </xdr:nvSpPr>
      <xdr:spPr>
        <a:xfrm>
          <a:off x="4403808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100</xdr:row>
      <xdr:rowOff>327025</xdr:rowOff>
    </xdr:from>
    <xdr:ext cx="371475" cy="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E440840F-A28B-4C89-A7C5-21FC694D1458}"/>
            </a:ext>
          </a:extLst>
        </xdr:cNvPr>
        <xdr:cNvSpPr/>
      </xdr:nvSpPr>
      <xdr:spPr>
        <a:xfrm>
          <a:off x="8854440" y="196132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105</xdr:row>
      <xdr:rowOff>6350</xdr:rowOff>
    </xdr:from>
    <xdr:ext cx="828675" cy="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312A8EDF-2591-4314-B23C-33B4FA3D2BA6}"/>
            </a:ext>
          </a:extLst>
        </xdr:cNvPr>
        <xdr:cNvSpPr/>
      </xdr:nvSpPr>
      <xdr:spPr>
        <a:xfrm>
          <a:off x="4424807" y="202603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105</xdr:row>
      <xdr:rowOff>25146</xdr:rowOff>
    </xdr:from>
    <xdr:ext cx="114300" cy="114300"/>
    <xdr:pic>
      <xdr:nvPicPr>
        <xdr:cNvPr id="79" name="image1.png">
          <a:extLst>
            <a:ext uri="{FF2B5EF4-FFF2-40B4-BE49-F238E27FC236}">
              <a16:creationId xmlns:a16="http://schemas.microsoft.com/office/drawing/2014/main" id="{30BBB4D9-AEEA-4AB8-B8D0-F48786E0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027910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107</xdr:row>
      <xdr:rowOff>320929</xdr:rowOff>
    </xdr:from>
    <xdr:ext cx="2141855" cy="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1EA1EE3F-DF0C-4B70-9C1A-EC6008D257C5}"/>
            </a:ext>
          </a:extLst>
        </xdr:cNvPr>
        <xdr:cNvSpPr/>
      </xdr:nvSpPr>
      <xdr:spPr>
        <a:xfrm>
          <a:off x="1613874" y="209558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107</xdr:row>
      <xdr:rowOff>320675</xdr:rowOff>
    </xdr:from>
    <xdr:ext cx="828675" cy="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984DFD55-CBB4-405F-A00E-3B62E2449FCB}"/>
            </a:ext>
          </a:extLst>
        </xdr:cNvPr>
        <xdr:cNvSpPr/>
      </xdr:nvSpPr>
      <xdr:spPr>
        <a:xfrm>
          <a:off x="484356" y="209556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107</xdr:row>
      <xdr:rowOff>320675</xdr:rowOff>
    </xdr:from>
    <xdr:ext cx="371475" cy="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B2C2C269-427A-476B-87C3-39ECBF9FAB7F}"/>
            </a:ext>
          </a:extLst>
        </xdr:cNvPr>
        <xdr:cNvSpPr/>
      </xdr:nvSpPr>
      <xdr:spPr>
        <a:xfrm>
          <a:off x="8837421" y="209556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112</xdr:row>
      <xdr:rowOff>18796</xdr:rowOff>
    </xdr:from>
    <xdr:ext cx="114300" cy="114300"/>
    <xdr:pic>
      <xdr:nvPicPr>
        <xdr:cNvPr id="83" name="image1.png">
          <a:extLst>
            <a:ext uri="{FF2B5EF4-FFF2-40B4-BE49-F238E27FC236}">
              <a16:creationId xmlns:a16="http://schemas.microsoft.com/office/drawing/2014/main" id="{FC37B5BE-C5B3-48FA-B5B2-6F97A6974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162911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114</xdr:row>
      <xdr:rowOff>327279</xdr:rowOff>
    </xdr:from>
    <xdr:ext cx="2141855" cy="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7915E8BF-5EB0-46C0-84C7-A0E3FA4171AB}"/>
            </a:ext>
          </a:extLst>
        </xdr:cNvPr>
        <xdr:cNvSpPr/>
      </xdr:nvSpPr>
      <xdr:spPr>
        <a:xfrm>
          <a:off x="1650745" y="223033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114</xdr:row>
      <xdr:rowOff>327025</xdr:rowOff>
    </xdr:from>
    <xdr:ext cx="828675" cy="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A289BD49-DB6B-4DA6-8D03-293457CE5F76}"/>
            </a:ext>
          </a:extLst>
        </xdr:cNvPr>
        <xdr:cNvSpPr/>
      </xdr:nvSpPr>
      <xdr:spPr>
        <a:xfrm>
          <a:off x="550037" y="223031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114</xdr:row>
      <xdr:rowOff>327025</xdr:rowOff>
    </xdr:from>
    <xdr:ext cx="371475" cy="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F02CD64B-F4C6-46AF-82AC-D148BB109298}"/>
            </a:ext>
          </a:extLst>
        </xdr:cNvPr>
        <xdr:cNvSpPr/>
      </xdr:nvSpPr>
      <xdr:spPr>
        <a:xfrm>
          <a:off x="8854440" y="223031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116</xdr:row>
      <xdr:rowOff>25146</xdr:rowOff>
    </xdr:from>
    <xdr:ext cx="114300" cy="114300"/>
    <xdr:pic>
      <xdr:nvPicPr>
        <xdr:cNvPr id="87" name="image1.png">
          <a:extLst>
            <a:ext uri="{FF2B5EF4-FFF2-40B4-BE49-F238E27FC236}">
              <a16:creationId xmlns:a16="http://schemas.microsoft.com/office/drawing/2014/main" id="{508D990C-8DBF-4F34-8B63-CBAE785C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251938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119</xdr:row>
      <xdr:rowOff>3429</xdr:rowOff>
    </xdr:from>
    <xdr:ext cx="2141855" cy="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97E9AD85-2D58-4B3B-B89C-54EAFCBD094C}"/>
            </a:ext>
          </a:extLst>
        </xdr:cNvPr>
        <xdr:cNvSpPr/>
      </xdr:nvSpPr>
      <xdr:spPr>
        <a:xfrm>
          <a:off x="1650745" y="231910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119</xdr:row>
      <xdr:rowOff>3175</xdr:rowOff>
    </xdr:from>
    <xdr:ext cx="828675" cy="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2F52BCCD-0878-4C54-8379-B6F971F3FDB2}"/>
            </a:ext>
          </a:extLst>
        </xdr:cNvPr>
        <xdr:cNvSpPr/>
      </xdr:nvSpPr>
      <xdr:spPr>
        <a:xfrm>
          <a:off x="550037" y="231908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119</xdr:row>
      <xdr:rowOff>3175</xdr:rowOff>
    </xdr:from>
    <xdr:ext cx="371475" cy="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B49429AC-16F3-47C4-8C8C-5B6B123391E5}"/>
            </a:ext>
          </a:extLst>
        </xdr:cNvPr>
        <xdr:cNvSpPr/>
      </xdr:nvSpPr>
      <xdr:spPr>
        <a:xfrm>
          <a:off x="8854440" y="231908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121</xdr:row>
      <xdr:rowOff>18796</xdr:rowOff>
    </xdr:from>
    <xdr:ext cx="114300" cy="114300"/>
    <xdr:pic>
      <xdr:nvPicPr>
        <xdr:cNvPr id="91" name="image1.png">
          <a:extLst>
            <a:ext uri="{FF2B5EF4-FFF2-40B4-BE49-F238E27FC236}">
              <a16:creationId xmlns:a16="http://schemas.microsoft.com/office/drawing/2014/main" id="{41509A3F-E57D-4BAA-9515-D045674CF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355697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123</xdr:row>
      <xdr:rowOff>327279</xdr:rowOff>
    </xdr:from>
    <xdr:ext cx="2141855" cy="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A4458F3C-B752-4154-98E3-BF7E410189EC}"/>
            </a:ext>
          </a:extLst>
        </xdr:cNvPr>
        <xdr:cNvSpPr/>
      </xdr:nvSpPr>
      <xdr:spPr>
        <a:xfrm>
          <a:off x="1613874" y="242312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123</xdr:row>
      <xdr:rowOff>327025</xdr:rowOff>
    </xdr:from>
    <xdr:ext cx="828675" cy="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C9DEC0FC-E292-459A-8FE8-5A9087A2BDFB}"/>
            </a:ext>
          </a:extLst>
        </xdr:cNvPr>
        <xdr:cNvSpPr/>
      </xdr:nvSpPr>
      <xdr:spPr>
        <a:xfrm>
          <a:off x="484356" y="242309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123</xdr:row>
      <xdr:rowOff>327025</xdr:rowOff>
    </xdr:from>
    <xdr:ext cx="371475" cy="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EEA53551-A86F-4900-B261-A20BFB85088D}"/>
            </a:ext>
          </a:extLst>
        </xdr:cNvPr>
        <xdr:cNvSpPr/>
      </xdr:nvSpPr>
      <xdr:spPr>
        <a:xfrm>
          <a:off x="8854440" y="242309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126</xdr:row>
      <xdr:rowOff>25146</xdr:rowOff>
    </xdr:from>
    <xdr:ext cx="114300" cy="114300"/>
    <xdr:pic>
      <xdr:nvPicPr>
        <xdr:cNvPr id="95" name="image1.png">
          <a:extLst>
            <a:ext uri="{FF2B5EF4-FFF2-40B4-BE49-F238E27FC236}">
              <a16:creationId xmlns:a16="http://schemas.microsoft.com/office/drawing/2014/main" id="{0480AD45-8915-4132-8208-8A2E3CBED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459202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129</xdr:row>
      <xdr:rowOff>3429</xdr:rowOff>
    </xdr:from>
    <xdr:ext cx="2141855" cy="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6047B3F8-8F2F-45BA-A252-4272A0188545}"/>
            </a:ext>
          </a:extLst>
        </xdr:cNvPr>
        <xdr:cNvSpPr/>
      </xdr:nvSpPr>
      <xdr:spPr>
        <a:xfrm>
          <a:off x="1650745" y="25263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129</xdr:row>
      <xdr:rowOff>3175</xdr:rowOff>
    </xdr:from>
    <xdr:ext cx="828675" cy="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A6B93B1F-88CA-4B19-9F2D-FFA97CE0F916}"/>
            </a:ext>
          </a:extLst>
        </xdr:cNvPr>
        <xdr:cNvSpPr/>
      </xdr:nvSpPr>
      <xdr:spPr>
        <a:xfrm>
          <a:off x="550037" y="25263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129</xdr:row>
      <xdr:rowOff>3175</xdr:rowOff>
    </xdr:from>
    <xdr:ext cx="371475" cy="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9820FE3F-27A4-4241-98B7-C5806A2AAD7F}"/>
            </a:ext>
          </a:extLst>
        </xdr:cNvPr>
        <xdr:cNvSpPr/>
      </xdr:nvSpPr>
      <xdr:spPr>
        <a:xfrm>
          <a:off x="8854440" y="25263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16002</xdr:colOff>
      <xdr:row>132</xdr:row>
      <xdr:rowOff>254253</xdr:rowOff>
    </xdr:from>
    <xdr:ext cx="2141855" cy="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DE5CD3A3-E5BD-40CD-89C7-5A86E27D242D}"/>
            </a:ext>
          </a:extLst>
        </xdr:cNvPr>
        <xdr:cNvSpPr/>
      </xdr:nvSpPr>
      <xdr:spPr>
        <a:xfrm>
          <a:off x="1661922" y="258803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132</xdr:row>
      <xdr:rowOff>253999</xdr:rowOff>
    </xdr:from>
    <xdr:ext cx="828675" cy="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A19CFA38-A8CC-49F8-BE0F-5E625824B425}"/>
            </a:ext>
          </a:extLst>
        </xdr:cNvPr>
        <xdr:cNvSpPr/>
      </xdr:nvSpPr>
      <xdr:spPr>
        <a:xfrm>
          <a:off x="550037" y="258800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132</xdr:row>
      <xdr:rowOff>253999</xdr:rowOff>
    </xdr:from>
    <xdr:ext cx="371475" cy="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5AFA50D9-02A0-4920-9F2B-368777DF9C49}"/>
            </a:ext>
          </a:extLst>
        </xdr:cNvPr>
        <xdr:cNvSpPr/>
      </xdr:nvSpPr>
      <xdr:spPr>
        <a:xfrm>
          <a:off x="8854440" y="258800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136</xdr:row>
      <xdr:rowOff>21971</xdr:rowOff>
    </xdr:from>
    <xdr:ext cx="114300" cy="114300"/>
    <xdr:pic>
      <xdr:nvPicPr>
        <xdr:cNvPr id="102" name="image1.png">
          <a:extLst>
            <a:ext uri="{FF2B5EF4-FFF2-40B4-BE49-F238E27FC236}">
              <a16:creationId xmlns:a16="http://schemas.microsoft.com/office/drawing/2014/main" id="{E1E9D0B9-8D11-4FDA-88AB-E42521545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643289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16002</xdr:colOff>
      <xdr:row>139</xdr:row>
      <xdr:rowOff>255</xdr:rowOff>
    </xdr:from>
    <xdr:ext cx="2141855" cy="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51E4E3F2-4431-481E-98FE-7CC6A2BD0931}"/>
            </a:ext>
          </a:extLst>
        </xdr:cNvPr>
        <xdr:cNvSpPr/>
      </xdr:nvSpPr>
      <xdr:spPr>
        <a:xfrm>
          <a:off x="1661922" y="2710459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139</xdr:row>
      <xdr:rowOff>1</xdr:rowOff>
    </xdr:from>
    <xdr:ext cx="828675" cy="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971549D5-9FF4-42A5-90C7-49469713428D}"/>
            </a:ext>
          </a:extLst>
        </xdr:cNvPr>
        <xdr:cNvSpPr/>
      </xdr:nvSpPr>
      <xdr:spPr>
        <a:xfrm>
          <a:off x="550037" y="2710434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139</xdr:row>
      <xdr:rowOff>1</xdr:rowOff>
    </xdr:from>
    <xdr:ext cx="371475" cy="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29E127D8-905C-425D-9C43-A78E105F671F}"/>
            </a:ext>
          </a:extLst>
        </xdr:cNvPr>
        <xdr:cNvSpPr/>
      </xdr:nvSpPr>
      <xdr:spPr>
        <a:xfrm>
          <a:off x="8854440" y="2710434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141</xdr:row>
      <xdr:rowOff>15621</xdr:rowOff>
    </xdr:from>
    <xdr:ext cx="114300" cy="114300"/>
    <xdr:pic>
      <xdr:nvPicPr>
        <xdr:cNvPr id="106" name="image1.png">
          <a:extLst>
            <a:ext uri="{FF2B5EF4-FFF2-40B4-BE49-F238E27FC236}">
              <a16:creationId xmlns:a16="http://schemas.microsoft.com/office/drawing/2014/main" id="{6E23E637-7A21-47BA-ADF6-F6CA994AF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74704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143</xdr:row>
      <xdr:rowOff>324105</xdr:rowOff>
    </xdr:from>
    <xdr:ext cx="2141855" cy="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E453562E-CB25-4349-8BBA-BCF4761B1E6C}"/>
            </a:ext>
          </a:extLst>
        </xdr:cNvPr>
        <xdr:cNvSpPr/>
      </xdr:nvSpPr>
      <xdr:spPr>
        <a:xfrm>
          <a:off x="1613874" y="281447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143</xdr:row>
      <xdr:rowOff>323851</xdr:rowOff>
    </xdr:from>
    <xdr:ext cx="828675" cy="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5D00A778-ED63-4ED9-B9E0-7998ADABA689}"/>
            </a:ext>
          </a:extLst>
        </xdr:cNvPr>
        <xdr:cNvSpPr/>
      </xdr:nvSpPr>
      <xdr:spPr>
        <a:xfrm>
          <a:off x="489305" y="281444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143</xdr:row>
      <xdr:rowOff>323851</xdr:rowOff>
    </xdr:from>
    <xdr:ext cx="371475" cy="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D619F9F8-A8D4-44EA-A630-E215A7F8068E}"/>
            </a:ext>
          </a:extLst>
        </xdr:cNvPr>
        <xdr:cNvSpPr/>
      </xdr:nvSpPr>
      <xdr:spPr>
        <a:xfrm>
          <a:off x="8837421" y="281444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145</xdr:row>
      <xdr:rowOff>21971</xdr:rowOff>
    </xdr:from>
    <xdr:ext cx="114300" cy="114300"/>
    <xdr:pic>
      <xdr:nvPicPr>
        <xdr:cNvPr id="110" name="image1.png">
          <a:extLst>
            <a:ext uri="{FF2B5EF4-FFF2-40B4-BE49-F238E27FC236}">
              <a16:creationId xmlns:a16="http://schemas.microsoft.com/office/drawing/2014/main" id="{6741F038-59F4-47D6-BDB1-71AB926EA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83607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3165</xdr:colOff>
      <xdr:row>148</xdr:row>
      <xdr:rowOff>255</xdr:rowOff>
    </xdr:from>
    <xdr:ext cx="2141855" cy="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A6B07C12-DE50-418C-B00E-8C7DC2861872}"/>
            </a:ext>
          </a:extLst>
        </xdr:cNvPr>
        <xdr:cNvSpPr/>
      </xdr:nvSpPr>
      <xdr:spPr>
        <a:xfrm>
          <a:off x="1649085" y="290324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148</xdr:row>
      <xdr:rowOff>1</xdr:rowOff>
    </xdr:from>
    <xdr:ext cx="828675" cy="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A845DC8B-E05A-4714-9E5F-1B804A028FA0}"/>
            </a:ext>
          </a:extLst>
        </xdr:cNvPr>
        <xdr:cNvSpPr/>
      </xdr:nvSpPr>
      <xdr:spPr>
        <a:xfrm>
          <a:off x="550037" y="290322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148</xdr:row>
      <xdr:rowOff>1</xdr:rowOff>
    </xdr:from>
    <xdr:ext cx="371475" cy="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B89AC14E-1A9A-43F4-8034-3EF6615F8182}"/>
            </a:ext>
          </a:extLst>
        </xdr:cNvPr>
        <xdr:cNvSpPr/>
      </xdr:nvSpPr>
      <xdr:spPr>
        <a:xfrm>
          <a:off x="8854440" y="290322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150</xdr:row>
      <xdr:rowOff>15621</xdr:rowOff>
    </xdr:from>
    <xdr:ext cx="114300" cy="114300"/>
    <xdr:pic>
      <xdr:nvPicPr>
        <xdr:cNvPr id="114" name="image1.png">
          <a:extLst>
            <a:ext uri="{FF2B5EF4-FFF2-40B4-BE49-F238E27FC236}">
              <a16:creationId xmlns:a16="http://schemas.microsoft.com/office/drawing/2014/main" id="{78C44D9C-6719-459A-B5D2-02A38DA41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939834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152</xdr:row>
      <xdr:rowOff>324105</xdr:rowOff>
    </xdr:from>
    <xdr:ext cx="2141855" cy="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0CCBD4DE-9F93-4E9A-9552-C6170C6FFE24}"/>
            </a:ext>
          </a:extLst>
        </xdr:cNvPr>
        <xdr:cNvSpPr/>
      </xdr:nvSpPr>
      <xdr:spPr>
        <a:xfrm>
          <a:off x="1613874" y="30072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152</xdr:row>
      <xdr:rowOff>323851</xdr:rowOff>
    </xdr:from>
    <xdr:ext cx="828675" cy="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72337774-46B9-4F13-89D8-8C1902F5A59A}"/>
            </a:ext>
          </a:extLst>
        </xdr:cNvPr>
        <xdr:cNvSpPr/>
      </xdr:nvSpPr>
      <xdr:spPr>
        <a:xfrm>
          <a:off x="489305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152</xdr:row>
      <xdr:rowOff>323851</xdr:rowOff>
    </xdr:from>
    <xdr:ext cx="828675" cy="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FECF170A-40F0-487E-8BEA-A04F23BAFFF3}"/>
            </a:ext>
          </a:extLst>
        </xdr:cNvPr>
        <xdr:cNvSpPr/>
      </xdr:nvSpPr>
      <xdr:spPr>
        <a:xfrm>
          <a:off x="7742681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152</xdr:row>
      <xdr:rowOff>323851</xdr:rowOff>
    </xdr:from>
    <xdr:ext cx="371475" cy="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81C259B4-8294-4B3A-AE42-44E257AFEA1F}"/>
            </a:ext>
          </a:extLst>
        </xdr:cNvPr>
        <xdr:cNvSpPr/>
      </xdr:nvSpPr>
      <xdr:spPr>
        <a:xfrm>
          <a:off x="8837421" y="30072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154</xdr:row>
      <xdr:rowOff>2921</xdr:rowOff>
    </xdr:from>
    <xdr:ext cx="828675" cy="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2CE671E9-7D80-4D3C-90BA-92EB7D662C52}"/>
            </a:ext>
          </a:extLst>
        </xdr:cNvPr>
        <xdr:cNvSpPr/>
      </xdr:nvSpPr>
      <xdr:spPr>
        <a:xfrm>
          <a:off x="7741920" y="302695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154</xdr:row>
      <xdr:rowOff>21971</xdr:rowOff>
    </xdr:from>
    <xdr:ext cx="114300" cy="114300"/>
    <xdr:pic>
      <xdr:nvPicPr>
        <xdr:cNvPr id="120" name="image1.png">
          <a:extLst>
            <a:ext uri="{FF2B5EF4-FFF2-40B4-BE49-F238E27FC236}">
              <a16:creationId xmlns:a16="http://schemas.microsoft.com/office/drawing/2014/main" id="{2C5845A7-ACE0-44AA-90B2-CBB07531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3028861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160</xdr:row>
      <xdr:rowOff>15621</xdr:rowOff>
    </xdr:from>
    <xdr:ext cx="114300" cy="114300"/>
    <xdr:pic>
      <xdr:nvPicPr>
        <xdr:cNvPr id="121" name="image1.png">
          <a:extLst>
            <a:ext uri="{FF2B5EF4-FFF2-40B4-BE49-F238E27FC236}">
              <a16:creationId xmlns:a16="http://schemas.microsoft.com/office/drawing/2014/main" id="{DDFD556B-F60D-4297-AC3E-3D59D5F5C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147860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162</xdr:row>
      <xdr:rowOff>324105</xdr:rowOff>
    </xdr:from>
    <xdr:ext cx="2141855" cy="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10848960-F27F-4401-AF49-2307B90E9EDF}"/>
            </a:ext>
          </a:extLst>
        </xdr:cNvPr>
        <xdr:cNvSpPr/>
      </xdr:nvSpPr>
      <xdr:spPr>
        <a:xfrm>
          <a:off x="1613874" y="3215284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162</xdr:row>
      <xdr:rowOff>323851</xdr:rowOff>
    </xdr:from>
    <xdr:ext cx="828675" cy="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62FED6D8-9DB0-49C9-8888-B1FD08851453}"/>
            </a:ext>
          </a:extLst>
        </xdr:cNvPr>
        <xdr:cNvSpPr/>
      </xdr:nvSpPr>
      <xdr:spPr>
        <a:xfrm>
          <a:off x="489305" y="3215259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162</xdr:row>
      <xdr:rowOff>323851</xdr:rowOff>
    </xdr:from>
    <xdr:ext cx="371475" cy="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4E6BEAD3-C477-4F33-B405-64ADC567E159}"/>
            </a:ext>
          </a:extLst>
        </xdr:cNvPr>
        <xdr:cNvSpPr/>
      </xdr:nvSpPr>
      <xdr:spPr>
        <a:xfrm>
          <a:off x="8837421" y="3215259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166</xdr:row>
      <xdr:rowOff>21971</xdr:rowOff>
    </xdr:from>
    <xdr:ext cx="114300" cy="114300"/>
    <xdr:pic>
      <xdr:nvPicPr>
        <xdr:cNvPr id="125" name="image1.png">
          <a:extLst>
            <a:ext uri="{FF2B5EF4-FFF2-40B4-BE49-F238E27FC236}">
              <a16:creationId xmlns:a16="http://schemas.microsoft.com/office/drawing/2014/main" id="{AF8A7BB6-396B-4328-AF61-DEC4C595E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6660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169</xdr:row>
      <xdr:rowOff>255</xdr:rowOff>
    </xdr:from>
    <xdr:ext cx="2141855" cy="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8678F1BB-2096-42C1-AB9A-FFB90CA9E376}"/>
            </a:ext>
          </a:extLst>
        </xdr:cNvPr>
        <xdr:cNvSpPr/>
      </xdr:nvSpPr>
      <xdr:spPr>
        <a:xfrm>
          <a:off x="1650745" y="333377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169</xdr:row>
      <xdr:rowOff>1</xdr:rowOff>
    </xdr:from>
    <xdr:ext cx="828675" cy="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90DD008A-9B2A-49AF-9227-C22DE97B20D0}"/>
            </a:ext>
          </a:extLst>
        </xdr:cNvPr>
        <xdr:cNvSpPr/>
      </xdr:nvSpPr>
      <xdr:spPr>
        <a:xfrm>
          <a:off x="550037" y="333375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169</xdr:row>
      <xdr:rowOff>1</xdr:rowOff>
    </xdr:from>
    <xdr:ext cx="371475" cy="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7C1FB33A-9329-41D8-AC5E-E45217CB4A27}"/>
            </a:ext>
          </a:extLst>
        </xdr:cNvPr>
        <xdr:cNvSpPr/>
      </xdr:nvSpPr>
      <xdr:spPr>
        <a:xfrm>
          <a:off x="8854440" y="333375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171</xdr:row>
      <xdr:rowOff>15621</xdr:rowOff>
    </xdr:from>
    <xdr:ext cx="114300" cy="114300"/>
    <xdr:pic>
      <xdr:nvPicPr>
        <xdr:cNvPr id="129" name="image1.png">
          <a:extLst>
            <a:ext uri="{FF2B5EF4-FFF2-40B4-BE49-F238E27FC236}">
              <a16:creationId xmlns:a16="http://schemas.microsoft.com/office/drawing/2014/main" id="{0C4980A0-880E-4B3B-BD2A-F8EE6CF9B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370364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180</xdr:row>
      <xdr:rowOff>21971</xdr:rowOff>
    </xdr:from>
    <xdr:ext cx="114300" cy="114300"/>
    <xdr:pic>
      <xdr:nvPicPr>
        <xdr:cNvPr id="130" name="image1.png">
          <a:extLst>
            <a:ext uri="{FF2B5EF4-FFF2-40B4-BE49-F238E27FC236}">
              <a16:creationId xmlns:a16="http://schemas.microsoft.com/office/drawing/2014/main" id="{E841A618-6E48-43F6-BF27-E5F60E837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51501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183</xdr:row>
      <xdr:rowOff>254</xdr:rowOff>
    </xdr:from>
    <xdr:ext cx="2141855" cy="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5C4D6216-C221-4F79-9C35-A65B27E820A2}"/>
            </a:ext>
          </a:extLst>
        </xdr:cNvPr>
        <xdr:cNvSpPr/>
      </xdr:nvSpPr>
      <xdr:spPr>
        <a:xfrm>
          <a:off x="1650745" y="3582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183</xdr:row>
      <xdr:rowOff>0</xdr:rowOff>
    </xdr:from>
    <xdr:ext cx="828675" cy="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F0B0DEA5-85DB-42A2-8275-4A5E36D14F73}"/>
            </a:ext>
          </a:extLst>
        </xdr:cNvPr>
        <xdr:cNvSpPr/>
      </xdr:nvSpPr>
      <xdr:spPr>
        <a:xfrm>
          <a:off x="550037" y="3582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183</xdr:row>
      <xdr:rowOff>0</xdr:rowOff>
    </xdr:from>
    <xdr:ext cx="371475" cy="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7C541521-9121-44AD-B3E7-54D13534FD0D}"/>
            </a:ext>
          </a:extLst>
        </xdr:cNvPr>
        <xdr:cNvSpPr/>
      </xdr:nvSpPr>
      <xdr:spPr>
        <a:xfrm>
          <a:off x="8854440" y="3582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184</xdr:row>
      <xdr:rowOff>15621</xdr:rowOff>
    </xdr:from>
    <xdr:ext cx="114300" cy="114300"/>
    <xdr:pic>
      <xdr:nvPicPr>
        <xdr:cNvPr id="134" name="image1.png">
          <a:extLst>
            <a:ext uri="{FF2B5EF4-FFF2-40B4-BE49-F238E27FC236}">
              <a16:creationId xmlns:a16="http://schemas.microsoft.com/office/drawing/2014/main" id="{A4B54B6F-037C-4EB2-966A-743F2A759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03536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186</xdr:row>
      <xdr:rowOff>324104</xdr:rowOff>
    </xdr:from>
    <xdr:ext cx="2141855" cy="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99CF8582-BFF5-4370-BC70-FE169ABAFF4D}"/>
            </a:ext>
          </a:extLst>
        </xdr:cNvPr>
        <xdr:cNvSpPr/>
      </xdr:nvSpPr>
      <xdr:spPr>
        <a:xfrm>
          <a:off x="1613874" y="3670960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186</xdr:row>
      <xdr:rowOff>323850</xdr:rowOff>
    </xdr:from>
    <xdr:ext cx="828675" cy="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DC02004A-E643-4D88-9A86-AD1103331CA6}"/>
            </a:ext>
          </a:extLst>
        </xdr:cNvPr>
        <xdr:cNvSpPr/>
      </xdr:nvSpPr>
      <xdr:spPr>
        <a:xfrm>
          <a:off x="489305" y="367093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186</xdr:row>
      <xdr:rowOff>323850</xdr:rowOff>
    </xdr:from>
    <xdr:ext cx="371475" cy="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BB9182C8-05E5-47E1-BB93-851763DCBF4D}"/>
            </a:ext>
          </a:extLst>
        </xdr:cNvPr>
        <xdr:cNvSpPr/>
      </xdr:nvSpPr>
      <xdr:spPr>
        <a:xfrm>
          <a:off x="8837421" y="3670935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188</xdr:row>
      <xdr:rowOff>21971</xdr:rowOff>
    </xdr:from>
    <xdr:ext cx="114300" cy="114300"/>
    <xdr:pic>
      <xdr:nvPicPr>
        <xdr:cNvPr id="138" name="image1.png">
          <a:extLst>
            <a:ext uri="{FF2B5EF4-FFF2-40B4-BE49-F238E27FC236}">
              <a16:creationId xmlns:a16="http://schemas.microsoft.com/office/drawing/2014/main" id="{F9D1BFED-DD80-4AB9-954D-92A81E4F4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9256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191</xdr:row>
      <xdr:rowOff>254</xdr:rowOff>
    </xdr:from>
    <xdr:ext cx="2141855" cy="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8D6F619D-FE28-4BC9-A0E6-514284283881}"/>
            </a:ext>
          </a:extLst>
        </xdr:cNvPr>
        <xdr:cNvSpPr/>
      </xdr:nvSpPr>
      <xdr:spPr>
        <a:xfrm>
          <a:off x="1645920" y="375973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191</xdr:row>
      <xdr:rowOff>0</xdr:rowOff>
    </xdr:from>
    <xdr:ext cx="828675" cy="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D36AB24E-F85E-42C8-978F-EA06676F156B}"/>
            </a:ext>
          </a:extLst>
        </xdr:cNvPr>
        <xdr:cNvSpPr/>
      </xdr:nvSpPr>
      <xdr:spPr>
        <a:xfrm>
          <a:off x="550037" y="375970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191</xdr:row>
      <xdr:rowOff>0</xdr:rowOff>
    </xdr:from>
    <xdr:ext cx="371475" cy="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1C31D551-E09D-46CA-8CDA-D49C45AF06FD}"/>
            </a:ext>
          </a:extLst>
        </xdr:cNvPr>
        <xdr:cNvSpPr/>
      </xdr:nvSpPr>
      <xdr:spPr>
        <a:xfrm>
          <a:off x="8854440" y="375970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193</xdr:row>
      <xdr:rowOff>15621</xdr:rowOff>
    </xdr:from>
    <xdr:ext cx="114300" cy="114300"/>
    <xdr:pic>
      <xdr:nvPicPr>
        <xdr:cNvPr id="142" name="image1.png">
          <a:extLst>
            <a:ext uri="{FF2B5EF4-FFF2-40B4-BE49-F238E27FC236}">
              <a16:creationId xmlns:a16="http://schemas.microsoft.com/office/drawing/2014/main" id="{B4EBC630-D990-45FC-8786-1C452DC5B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7963221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195</xdr:row>
      <xdr:rowOff>323850</xdr:rowOff>
    </xdr:from>
    <xdr:ext cx="828675" cy="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98C79DB2-2B97-4588-9DC4-03FCE66DA1F9}"/>
            </a:ext>
          </a:extLst>
        </xdr:cNvPr>
        <xdr:cNvSpPr/>
      </xdr:nvSpPr>
      <xdr:spPr>
        <a:xfrm>
          <a:off x="489305" y="386372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195</xdr:row>
      <xdr:rowOff>323850</xdr:rowOff>
    </xdr:from>
    <xdr:ext cx="371475" cy="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2D562DA0-622F-4615-AF2B-DF25B1F6DC97}"/>
            </a:ext>
          </a:extLst>
        </xdr:cNvPr>
        <xdr:cNvSpPr/>
      </xdr:nvSpPr>
      <xdr:spPr>
        <a:xfrm>
          <a:off x="8837421" y="386372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197</xdr:row>
      <xdr:rowOff>21971</xdr:rowOff>
    </xdr:from>
    <xdr:ext cx="114300" cy="114300"/>
    <xdr:pic>
      <xdr:nvPicPr>
        <xdr:cNvPr id="145" name="image1.png">
          <a:extLst>
            <a:ext uri="{FF2B5EF4-FFF2-40B4-BE49-F238E27FC236}">
              <a16:creationId xmlns:a16="http://schemas.microsoft.com/office/drawing/2014/main" id="{62636CC9-2B0A-4282-B9E7-0CAD67DF0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8853491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200</xdr:row>
      <xdr:rowOff>0</xdr:rowOff>
    </xdr:from>
    <xdr:ext cx="828675" cy="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52675A05-950D-4528-850F-8BF651286D34}"/>
            </a:ext>
          </a:extLst>
        </xdr:cNvPr>
        <xdr:cNvSpPr/>
      </xdr:nvSpPr>
      <xdr:spPr>
        <a:xfrm>
          <a:off x="550037" y="395249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200</xdr:row>
      <xdr:rowOff>0</xdr:rowOff>
    </xdr:from>
    <xdr:ext cx="371475" cy="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F57C62F7-7644-46D0-94CB-578A424C36D7}"/>
            </a:ext>
          </a:extLst>
        </xdr:cNvPr>
        <xdr:cNvSpPr/>
      </xdr:nvSpPr>
      <xdr:spPr>
        <a:xfrm>
          <a:off x="8854440" y="395249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202</xdr:row>
      <xdr:rowOff>15621</xdr:rowOff>
    </xdr:from>
    <xdr:ext cx="114300" cy="114300"/>
    <xdr:pic>
      <xdr:nvPicPr>
        <xdr:cNvPr id="148" name="image1.png">
          <a:extLst>
            <a:ext uri="{FF2B5EF4-FFF2-40B4-BE49-F238E27FC236}">
              <a16:creationId xmlns:a16="http://schemas.microsoft.com/office/drawing/2014/main" id="{28BAFB24-B8D3-452A-AA58-268021087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98910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204</xdr:row>
      <xdr:rowOff>324104</xdr:rowOff>
    </xdr:from>
    <xdr:ext cx="2141855" cy="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1ACC2E9F-D04E-4B5A-97D7-373C6362CC2B}"/>
            </a:ext>
          </a:extLst>
        </xdr:cNvPr>
        <xdr:cNvSpPr/>
      </xdr:nvSpPr>
      <xdr:spPr>
        <a:xfrm>
          <a:off x="1613874" y="405653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204</xdr:row>
      <xdr:rowOff>323850</xdr:rowOff>
    </xdr:from>
    <xdr:ext cx="828675" cy="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410E1CD2-473B-4B9A-AB72-05C2021E2C9A}"/>
            </a:ext>
          </a:extLst>
        </xdr:cNvPr>
        <xdr:cNvSpPr/>
      </xdr:nvSpPr>
      <xdr:spPr>
        <a:xfrm>
          <a:off x="489305" y="405650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204</xdr:row>
      <xdr:rowOff>323850</xdr:rowOff>
    </xdr:from>
    <xdr:ext cx="371475" cy="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9CBF9056-9AD7-4E31-9F1C-0490FCBA3543}"/>
            </a:ext>
          </a:extLst>
        </xdr:cNvPr>
        <xdr:cNvSpPr/>
      </xdr:nvSpPr>
      <xdr:spPr>
        <a:xfrm>
          <a:off x="8837421" y="405650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208</xdr:row>
      <xdr:rowOff>21971</xdr:rowOff>
    </xdr:from>
    <xdr:ext cx="114300" cy="114300"/>
    <xdr:pic>
      <xdr:nvPicPr>
        <xdr:cNvPr id="152" name="image1.png">
          <a:extLst>
            <a:ext uri="{FF2B5EF4-FFF2-40B4-BE49-F238E27FC236}">
              <a16:creationId xmlns:a16="http://schemas.microsoft.com/office/drawing/2014/main" id="{78E28188-F01A-46FA-9C6A-5533C9A88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0785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211</xdr:row>
      <xdr:rowOff>254</xdr:rowOff>
    </xdr:from>
    <xdr:ext cx="2141855" cy="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6B7F01EE-DACC-4C48-BA20-26D6C5217117}"/>
            </a:ext>
          </a:extLst>
        </xdr:cNvPr>
        <xdr:cNvSpPr/>
      </xdr:nvSpPr>
      <xdr:spPr>
        <a:xfrm>
          <a:off x="1650745" y="417502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211</xdr:row>
      <xdr:rowOff>0</xdr:rowOff>
    </xdr:from>
    <xdr:ext cx="828675" cy="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EBA1EC5C-006F-48E0-999A-9D29F92E2468}"/>
            </a:ext>
          </a:extLst>
        </xdr:cNvPr>
        <xdr:cNvSpPr/>
      </xdr:nvSpPr>
      <xdr:spPr>
        <a:xfrm>
          <a:off x="550037" y="417499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211</xdr:row>
      <xdr:rowOff>0</xdr:rowOff>
    </xdr:from>
    <xdr:ext cx="371475" cy="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A4D0688E-4D94-4E7D-ACB5-3A7550042480}"/>
            </a:ext>
          </a:extLst>
        </xdr:cNvPr>
        <xdr:cNvSpPr/>
      </xdr:nvSpPr>
      <xdr:spPr>
        <a:xfrm>
          <a:off x="8854440" y="417499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212</xdr:row>
      <xdr:rowOff>15621</xdr:rowOff>
    </xdr:from>
    <xdr:ext cx="114300" cy="114300"/>
    <xdr:pic>
      <xdr:nvPicPr>
        <xdr:cNvPr id="156" name="image1.png">
          <a:extLst>
            <a:ext uri="{FF2B5EF4-FFF2-40B4-BE49-F238E27FC236}">
              <a16:creationId xmlns:a16="http://schemas.microsoft.com/office/drawing/2014/main" id="{3A58F893-9FA0-40F5-937A-78C29BA6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96372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215</xdr:row>
      <xdr:rowOff>260350</xdr:rowOff>
    </xdr:from>
    <xdr:ext cx="828675" cy="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7FE17571-E175-431E-82C5-F0BB5E1A213A}"/>
            </a:ext>
          </a:extLst>
        </xdr:cNvPr>
        <xdr:cNvSpPr/>
      </xdr:nvSpPr>
      <xdr:spPr>
        <a:xfrm>
          <a:off x="551688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215</xdr:row>
      <xdr:rowOff>260604</xdr:rowOff>
    </xdr:from>
    <xdr:ext cx="2141855" cy="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152D0426-D1AE-4FDB-814B-33E46C255D68}"/>
            </a:ext>
          </a:extLst>
        </xdr:cNvPr>
        <xdr:cNvSpPr/>
      </xdr:nvSpPr>
      <xdr:spPr>
        <a:xfrm>
          <a:off x="1645920" y="425592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215</xdr:row>
      <xdr:rowOff>260350</xdr:rowOff>
    </xdr:from>
    <xdr:ext cx="828675" cy="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D7C30D84-1D64-49FB-B7FD-9DC422DC407F}"/>
            </a:ext>
          </a:extLst>
        </xdr:cNvPr>
        <xdr:cNvSpPr/>
      </xdr:nvSpPr>
      <xdr:spPr>
        <a:xfrm>
          <a:off x="550037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215</xdr:row>
      <xdr:rowOff>260350</xdr:rowOff>
    </xdr:from>
    <xdr:ext cx="828675" cy="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DF6F099B-BA32-490C-843F-B3949E1998D0}"/>
            </a:ext>
          </a:extLst>
        </xdr:cNvPr>
        <xdr:cNvSpPr/>
      </xdr:nvSpPr>
      <xdr:spPr>
        <a:xfrm>
          <a:off x="774192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215</xdr:row>
      <xdr:rowOff>260350</xdr:rowOff>
    </xdr:from>
    <xdr:ext cx="828675" cy="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272B0EC8-ECA4-4695-A0DE-33544231D664}"/>
            </a:ext>
          </a:extLst>
        </xdr:cNvPr>
        <xdr:cNvSpPr/>
      </xdr:nvSpPr>
      <xdr:spPr>
        <a:xfrm>
          <a:off x="4419663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215</xdr:row>
      <xdr:rowOff>260350</xdr:rowOff>
    </xdr:from>
    <xdr:ext cx="828675" cy="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69E74E11-181B-4895-9B5F-DB39E8FA1B1E}"/>
            </a:ext>
          </a:extLst>
        </xdr:cNvPr>
        <xdr:cNvSpPr/>
      </xdr:nvSpPr>
      <xdr:spPr>
        <a:xfrm>
          <a:off x="662940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215</xdr:row>
      <xdr:rowOff>260350</xdr:rowOff>
    </xdr:from>
    <xdr:ext cx="371475" cy="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551AA55D-C940-4990-A925-3807F10D19A8}"/>
            </a:ext>
          </a:extLst>
        </xdr:cNvPr>
        <xdr:cNvSpPr/>
      </xdr:nvSpPr>
      <xdr:spPr>
        <a:xfrm>
          <a:off x="8854440" y="42558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216</xdr:row>
      <xdr:rowOff>21970</xdr:rowOff>
    </xdr:from>
    <xdr:ext cx="114300" cy="114300"/>
    <xdr:pic>
      <xdr:nvPicPr>
        <xdr:cNvPr id="164" name="image1.png">
          <a:extLst>
            <a:ext uri="{FF2B5EF4-FFF2-40B4-BE49-F238E27FC236}">
              <a16:creationId xmlns:a16="http://schemas.microsoft.com/office/drawing/2014/main" id="{AC1867D4-4FB7-4591-BFFA-5FEE0E405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2770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219</xdr:row>
      <xdr:rowOff>254</xdr:rowOff>
    </xdr:from>
    <xdr:ext cx="2141855" cy="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525EF9D4-245B-4757-92CF-DA18EAB66573}"/>
            </a:ext>
          </a:extLst>
        </xdr:cNvPr>
        <xdr:cNvSpPr/>
      </xdr:nvSpPr>
      <xdr:spPr>
        <a:xfrm>
          <a:off x="1668834" y="4344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219</xdr:row>
      <xdr:rowOff>0</xdr:rowOff>
    </xdr:from>
    <xdr:ext cx="828675" cy="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EE9EFB59-100E-41D7-B7EF-44D817E509E5}"/>
            </a:ext>
          </a:extLst>
        </xdr:cNvPr>
        <xdr:cNvSpPr/>
      </xdr:nvSpPr>
      <xdr:spPr>
        <a:xfrm>
          <a:off x="548640" y="4344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219</xdr:row>
      <xdr:rowOff>0</xdr:rowOff>
    </xdr:from>
    <xdr:ext cx="371475" cy="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B9E90872-8B17-4B0F-A397-4ED3C6E05C5A}"/>
            </a:ext>
          </a:extLst>
        </xdr:cNvPr>
        <xdr:cNvSpPr/>
      </xdr:nvSpPr>
      <xdr:spPr>
        <a:xfrm>
          <a:off x="8854440" y="4344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221</xdr:row>
      <xdr:rowOff>15620</xdr:rowOff>
    </xdr:from>
    <xdr:ext cx="114300" cy="114300"/>
    <xdr:pic>
      <xdr:nvPicPr>
        <xdr:cNvPr id="168" name="image1.png">
          <a:extLst>
            <a:ext uri="{FF2B5EF4-FFF2-40B4-BE49-F238E27FC236}">
              <a16:creationId xmlns:a16="http://schemas.microsoft.com/office/drawing/2014/main" id="{1CBDD19C-7FDC-4FCC-B404-2335A5446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38077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224</xdr:row>
      <xdr:rowOff>6604</xdr:rowOff>
    </xdr:from>
    <xdr:ext cx="2141855" cy="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EECCCAF9-5F5A-4337-858A-791A4127EDF2}"/>
            </a:ext>
          </a:extLst>
        </xdr:cNvPr>
        <xdr:cNvSpPr/>
      </xdr:nvSpPr>
      <xdr:spPr>
        <a:xfrm>
          <a:off x="1650745" y="444769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224</xdr:row>
      <xdr:rowOff>6350</xdr:rowOff>
    </xdr:from>
    <xdr:ext cx="828675" cy="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446BCF3E-A52C-49D0-8C6F-8C444EA8F596}"/>
            </a:ext>
          </a:extLst>
        </xdr:cNvPr>
        <xdr:cNvSpPr/>
      </xdr:nvSpPr>
      <xdr:spPr>
        <a:xfrm>
          <a:off x="550037" y="444766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224</xdr:row>
      <xdr:rowOff>6350</xdr:rowOff>
    </xdr:from>
    <xdr:ext cx="371475" cy="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ECE02838-3077-4F68-9620-CCDF167E65D3}"/>
            </a:ext>
          </a:extLst>
        </xdr:cNvPr>
        <xdr:cNvSpPr/>
      </xdr:nvSpPr>
      <xdr:spPr>
        <a:xfrm>
          <a:off x="8854440" y="444766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225</xdr:row>
      <xdr:rowOff>21970</xdr:rowOff>
    </xdr:from>
    <xdr:ext cx="114300" cy="114300"/>
    <xdr:pic>
      <xdr:nvPicPr>
        <xdr:cNvPr id="172" name="image1.png">
          <a:extLst>
            <a:ext uri="{FF2B5EF4-FFF2-40B4-BE49-F238E27FC236}">
              <a16:creationId xmlns:a16="http://schemas.microsoft.com/office/drawing/2014/main" id="{C77407CD-33B7-4D9E-BAD0-25607D9DD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4690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228</xdr:row>
      <xdr:rowOff>254</xdr:rowOff>
    </xdr:from>
    <xdr:ext cx="2141855" cy="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E6E532F7-5812-497E-9E57-EE7EC105F49E}"/>
            </a:ext>
          </a:extLst>
        </xdr:cNvPr>
        <xdr:cNvSpPr/>
      </xdr:nvSpPr>
      <xdr:spPr>
        <a:xfrm>
          <a:off x="1650745" y="4536211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228</xdr:row>
      <xdr:rowOff>0</xdr:rowOff>
    </xdr:from>
    <xdr:ext cx="828675" cy="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0F36197E-0C46-4CC8-8F2D-8AE910012FAC}"/>
            </a:ext>
          </a:extLst>
        </xdr:cNvPr>
        <xdr:cNvSpPr/>
      </xdr:nvSpPr>
      <xdr:spPr>
        <a:xfrm>
          <a:off x="550037" y="45361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228</xdr:row>
      <xdr:rowOff>0</xdr:rowOff>
    </xdr:from>
    <xdr:ext cx="371475" cy="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53ABD2B1-64CB-40C3-B875-819B0128793C}"/>
            </a:ext>
          </a:extLst>
        </xdr:cNvPr>
        <xdr:cNvSpPr/>
      </xdr:nvSpPr>
      <xdr:spPr>
        <a:xfrm>
          <a:off x="8854440" y="45361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22914</xdr:colOff>
      <xdr:row>231</xdr:row>
      <xdr:rowOff>324104</xdr:rowOff>
    </xdr:from>
    <xdr:ext cx="2141855" cy="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91200BB4-7290-4E62-AB50-7EBA716CDBF5}"/>
            </a:ext>
          </a:extLst>
        </xdr:cNvPr>
        <xdr:cNvSpPr/>
      </xdr:nvSpPr>
      <xdr:spPr>
        <a:xfrm>
          <a:off x="1668834" y="462498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231</xdr:row>
      <xdr:rowOff>323850</xdr:rowOff>
    </xdr:from>
    <xdr:ext cx="828675" cy="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0E8BE1F4-0109-4D48-9F48-2D78286AC068}"/>
            </a:ext>
          </a:extLst>
        </xdr:cNvPr>
        <xdr:cNvSpPr/>
      </xdr:nvSpPr>
      <xdr:spPr>
        <a:xfrm>
          <a:off x="548640" y="462495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231</xdr:row>
      <xdr:rowOff>323850</xdr:rowOff>
    </xdr:from>
    <xdr:ext cx="371475" cy="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A25253F9-FFC7-4B32-8547-63EFF07C69B1}"/>
            </a:ext>
          </a:extLst>
        </xdr:cNvPr>
        <xdr:cNvSpPr/>
      </xdr:nvSpPr>
      <xdr:spPr>
        <a:xfrm>
          <a:off x="8837421" y="462495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235</xdr:row>
      <xdr:rowOff>21970</xdr:rowOff>
    </xdr:from>
    <xdr:ext cx="114300" cy="114300"/>
    <xdr:pic>
      <xdr:nvPicPr>
        <xdr:cNvPr id="179" name="image1.png">
          <a:extLst>
            <a:ext uri="{FF2B5EF4-FFF2-40B4-BE49-F238E27FC236}">
              <a16:creationId xmlns:a16="http://schemas.microsoft.com/office/drawing/2014/main" id="{1587909A-0900-48FC-A6C5-9073811A9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67630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238</xdr:row>
      <xdr:rowOff>254</xdr:rowOff>
    </xdr:from>
    <xdr:ext cx="2141855" cy="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BF92A4E2-BD72-4879-B967-54E6F24C345B}"/>
            </a:ext>
          </a:extLst>
        </xdr:cNvPr>
        <xdr:cNvSpPr/>
      </xdr:nvSpPr>
      <xdr:spPr>
        <a:xfrm>
          <a:off x="1650745" y="4743475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238</xdr:row>
      <xdr:rowOff>0</xdr:rowOff>
    </xdr:from>
    <xdr:ext cx="828675" cy="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3AC72A29-EADC-4D3E-AD75-BAD3A0C5C03C}"/>
            </a:ext>
          </a:extLst>
        </xdr:cNvPr>
        <xdr:cNvSpPr/>
      </xdr:nvSpPr>
      <xdr:spPr>
        <a:xfrm>
          <a:off x="550037" y="474345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238</xdr:row>
      <xdr:rowOff>0</xdr:rowOff>
    </xdr:from>
    <xdr:ext cx="371475" cy="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F2D34B6B-073C-458F-BF2D-B5F3E440C351}"/>
            </a:ext>
          </a:extLst>
        </xdr:cNvPr>
        <xdr:cNvSpPr/>
      </xdr:nvSpPr>
      <xdr:spPr>
        <a:xfrm>
          <a:off x="8854440" y="474345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239</xdr:row>
      <xdr:rowOff>15620</xdr:rowOff>
    </xdr:from>
    <xdr:ext cx="114300" cy="114300"/>
    <xdr:pic>
      <xdr:nvPicPr>
        <xdr:cNvPr id="183" name="image1.png">
          <a:extLst>
            <a:ext uri="{FF2B5EF4-FFF2-40B4-BE49-F238E27FC236}">
              <a16:creationId xmlns:a16="http://schemas.microsoft.com/office/drawing/2014/main" id="{43452F6B-830F-4D8C-961D-E104CE17F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764824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241</xdr:row>
      <xdr:rowOff>324104</xdr:rowOff>
    </xdr:from>
    <xdr:ext cx="2141855" cy="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7EA5D849-6C13-4DB7-8255-84AB1E58F307}"/>
            </a:ext>
          </a:extLst>
        </xdr:cNvPr>
        <xdr:cNvSpPr/>
      </xdr:nvSpPr>
      <xdr:spPr>
        <a:xfrm>
          <a:off x="1668834" y="4832248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241</xdr:row>
      <xdr:rowOff>323850</xdr:rowOff>
    </xdr:from>
    <xdr:ext cx="828675" cy="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4B1FBC17-B506-4B88-8FC9-834BAFF7B92D}"/>
            </a:ext>
          </a:extLst>
        </xdr:cNvPr>
        <xdr:cNvSpPr/>
      </xdr:nvSpPr>
      <xdr:spPr>
        <a:xfrm>
          <a:off x="548640" y="483222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241</xdr:row>
      <xdr:rowOff>323850</xdr:rowOff>
    </xdr:from>
    <xdr:ext cx="371475" cy="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3A14C43-531D-4689-B67C-48237C64E461}"/>
            </a:ext>
          </a:extLst>
        </xdr:cNvPr>
        <xdr:cNvSpPr/>
      </xdr:nvSpPr>
      <xdr:spPr>
        <a:xfrm>
          <a:off x="8837421" y="483222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244</xdr:row>
      <xdr:rowOff>21970</xdr:rowOff>
    </xdr:from>
    <xdr:ext cx="114300" cy="114300"/>
    <xdr:pic>
      <xdr:nvPicPr>
        <xdr:cNvPr id="187" name="image1.png">
          <a:extLst>
            <a:ext uri="{FF2B5EF4-FFF2-40B4-BE49-F238E27FC236}">
              <a16:creationId xmlns:a16="http://schemas.microsoft.com/office/drawing/2014/main" id="{9675BD7B-2628-4744-8855-6A92A19A4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868329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247</xdr:row>
      <xdr:rowOff>254</xdr:rowOff>
    </xdr:from>
    <xdr:ext cx="2141855" cy="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8E3D850D-AE86-4548-86A6-C5E06D44DE27}"/>
            </a:ext>
          </a:extLst>
        </xdr:cNvPr>
        <xdr:cNvSpPr/>
      </xdr:nvSpPr>
      <xdr:spPr>
        <a:xfrm>
          <a:off x="1650745" y="4935499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247</xdr:row>
      <xdr:rowOff>0</xdr:rowOff>
    </xdr:from>
    <xdr:ext cx="828675" cy="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6E7C6FF9-EB19-406E-AB1D-ABDD6FF1D255}"/>
            </a:ext>
          </a:extLst>
        </xdr:cNvPr>
        <xdr:cNvSpPr/>
      </xdr:nvSpPr>
      <xdr:spPr>
        <a:xfrm>
          <a:off x="550037" y="493547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247</xdr:row>
      <xdr:rowOff>0</xdr:rowOff>
    </xdr:from>
    <xdr:ext cx="371475" cy="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83C4090D-BBE4-4456-8150-10E09FD14CFA}"/>
            </a:ext>
          </a:extLst>
        </xdr:cNvPr>
        <xdr:cNvSpPr/>
      </xdr:nvSpPr>
      <xdr:spPr>
        <a:xfrm>
          <a:off x="8854440" y="493547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248</xdr:row>
      <xdr:rowOff>15620</xdr:rowOff>
    </xdr:from>
    <xdr:ext cx="114300" cy="114300"/>
    <xdr:pic>
      <xdr:nvPicPr>
        <xdr:cNvPr id="191" name="image1.png">
          <a:extLst>
            <a:ext uri="{FF2B5EF4-FFF2-40B4-BE49-F238E27FC236}">
              <a16:creationId xmlns:a16="http://schemas.microsoft.com/office/drawing/2014/main" id="{05AA1C77-9CF1-45BB-B2EB-83F6E9180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956848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252</xdr:row>
      <xdr:rowOff>21970</xdr:rowOff>
    </xdr:from>
    <xdr:ext cx="114300" cy="114300"/>
    <xdr:pic>
      <xdr:nvPicPr>
        <xdr:cNvPr id="192" name="image1.png">
          <a:extLst>
            <a:ext uri="{FF2B5EF4-FFF2-40B4-BE49-F238E27FC236}">
              <a16:creationId xmlns:a16="http://schemas.microsoft.com/office/drawing/2014/main" id="{5EC01CF2-C316-4B47-AC00-854B55645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045875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255</xdr:row>
      <xdr:rowOff>260349</xdr:rowOff>
    </xdr:from>
    <xdr:ext cx="828675" cy="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B52EFEA1-48AD-4C72-BDF6-F7521A980BE3}"/>
            </a:ext>
          </a:extLst>
        </xdr:cNvPr>
        <xdr:cNvSpPr/>
      </xdr:nvSpPr>
      <xdr:spPr>
        <a:xfrm>
          <a:off x="551688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255</xdr:row>
      <xdr:rowOff>260603</xdr:rowOff>
    </xdr:from>
    <xdr:ext cx="2141855" cy="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5BC44254-EEF5-42E3-A8AA-E88EA8C35B60}"/>
            </a:ext>
          </a:extLst>
        </xdr:cNvPr>
        <xdr:cNvSpPr/>
      </xdr:nvSpPr>
      <xdr:spPr>
        <a:xfrm>
          <a:off x="1645920" y="510479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255</xdr:row>
      <xdr:rowOff>260349</xdr:rowOff>
    </xdr:from>
    <xdr:ext cx="828675" cy="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8479F2B9-EA5C-4FF5-AF79-74599B6F3FB6}"/>
            </a:ext>
          </a:extLst>
        </xdr:cNvPr>
        <xdr:cNvSpPr/>
      </xdr:nvSpPr>
      <xdr:spPr>
        <a:xfrm>
          <a:off x="550037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255</xdr:row>
      <xdr:rowOff>260349</xdr:rowOff>
    </xdr:from>
    <xdr:ext cx="828675" cy="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6C39F561-68BB-47B4-9A4B-0A37638D7DCB}"/>
            </a:ext>
          </a:extLst>
        </xdr:cNvPr>
        <xdr:cNvSpPr/>
      </xdr:nvSpPr>
      <xdr:spPr>
        <a:xfrm>
          <a:off x="774192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255</xdr:row>
      <xdr:rowOff>260349</xdr:rowOff>
    </xdr:from>
    <xdr:ext cx="828675" cy="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802F5200-82B6-41BC-90AC-AFC0257AD910}"/>
            </a:ext>
          </a:extLst>
        </xdr:cNvPr>
        <xdr:cNvSpPr/>
      </xdr:nvSpPr>
      <xdr:spPr>
        <a:xfrm>
          <a:off x="4419663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255</xdr:row>
      <xdr:rowOff>260349</xdr:rowOff>
    </xdr:from>
    <xdr:ext cx="828675" cy="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0737F7CE-AB53-413A-819F-7B79D8D5CAC3}"/>
            </a:ext>
          </a:extLst>
        </xdr:cNvPr>
        <xdr:cNvSpPr/>
      </xdr:nvSpPr>
      <xdr:spPr>
        <a:xfrm>
          <a:off x="662940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255</xdr:row>
      <xdr:rowOff>260349</xdr:rowOff>
    </xdr:from>
    <xdr:ext cx="371475" cy="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1C5D290A-7761-43E9-83D4-BA812D05912D}"/>
            </a:ext>
          </a:extLst>
        </xdr:cNvPr>
        <xdr:cNvSpPr/>
      </xdr:nvSpPr>
      <xdr:spPr>
        <a:xfrm>
          <a:off x="8854440" y="510476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256</xdr:row>
      <xdr:rowOff>21970</xdr:rowOff>
    </xdr:from>
    <xdr:ext cx="114300" cy="114300"/>
    <xdr:pic>
      <xdr:nvPicPr>
        <xdr:cNvPr id="200" name="image1.png">
          <a:extLst>
            <a:ext uri="{FF2B5EF4-FFF2-40B4-BE49-F238E27FC236}">
              <a16:creationId xmlns:a16="http://schemas.microsoft.com/office/drawing/2014/main" id="{3B9CF342-135E-47A1-9467-453A4B015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12588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259</xdr:row>
      <xdr:rowOff>256</xdr:rowOff>
    </xdr:from>
    <xdr:ext cx="2141855" cy="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300EF57B-996D-4369-B479-0B9F7EA4C0E5}"/>
            </a:ext>
          </a:extLst>
        </xdr:cNvPr>
        <xdr:cNvSpPr/>
      </xdr:nvSpPr>
      <xdr:spPr>
        <a:xfrm>
          <a:off x="1668834" y="519305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259</xdr:row>
      <xdr:rowOff>2</xdr:rowOff>
    </xdr:from>
    <xdr:ext cx="828675" cy="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20D7B63C-CDE8-4845-879E-978D21254AE3}"/>
            </a:ext>
          </a:extLst>
        </xdr:cNvPr>
        <xdr:cNvSpPr/>
      </xdr:nvSpPr>
      <xdr:spPr>
        <a:xfrm>
          <a:off x="489305" y="519303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259</xdr:row>
      <xdr:rowOff>2</xdr:rowOff>
    </xdr:from>
    <xdr:ext cx="371475" cy="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D63BA913-65B4-401B-8E39-04C80404E562}"/>
            </a:ext>
          </a:extLst>
        </xdr:cNvPr>
        <xdr:cNvSpPr/>
      </xdr:nvSpPr>
      <xdr:spPr>
        <a:xfrm>
          <a:off x="8854440" y="519303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261</xdr:row>
      <xdr:rowOff>15623</xdr:rowOff>
    </xdr:from>
    <xdr:ext cx="114300" cy="114300"/>
    <xdr:pic>
      <xdr:nvPicPr>
        <xdr:cNvPr id="204" name="image1.png">
          <a:extLst>
            <a:ext uri="{FF2B5EF4-FFF2-40B4-BE49-F238E27FC236}">
              <a16:creationId xmlns:a16="http://schemas.microsoft.com/office/drawing/2014/main" id="{768B90C8-07C8-4164-B850-14A34AD71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2964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264</xdr:row>
      <xdr:rowOff>6606</xdr:rowOff>
    </xdr:from>
    <xdr:ext cx="2141855" cy="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B1275E5B-1ABD-4626-B54F-A071C33F0EB3}"/>
            </a:ext>
          </a:extLst>
        </xdr:cNvPr>
        <xdr:cNvSpPr/>
      </xdr:nvSpPr>
      <xdr:spPr>
        <a:xfrm>
          <a:off x="1650745" y="529656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264</xdr:row>
      <xdr:rowOff>6352</xdr:rowOff>
    </xdr:from>
    <xdr:ext cx="828675" cy="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472AC482-09AD-4E43-9059-F11AC14608B2}"/>
            </a:ext>
          </a:extLst>
        </xdr:cNvPr>
        <xdr:cNvSpPr/>
      </xdr:nvSpPr>
      <xdr:spPr>
        <a:xfrm>
          <a:off x="550037" y="529653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264</xdr:row>
      <xdr:rowOff>6352</xdr:rowOff>
    </xdr:from>
    <xdr:ext cx="371475" cy="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21F2713B-BCE2-43C3-B656-BCC948AB8B22}"/>
            </a:ext>
          </a:extLst>
        </xdr:cNvPr>
        <xdr:cNvSpPr/>
      </xdr:nvSpPr>
      <xdr:spPr>
        <a:xfrm>
          <a:off x="8854440" y="529653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265</xdr:row>
      <xdr:rowOff>21973</xdr:rowOff>
    </xdr:from>
    <xdr:ext cx="114300" cy="114300"/>
    <xdr:pic>
      <xdr:nvPicPr>
        <xdr:cNvPr id="208" name="image1.png">
          <a:extLst>
            <a:ext uri="{FF2B5EF4-FFF2-40B4-BE49-F238E27FC236}">
              <a16:creationId xmlns:a16="http://schemas.microsoft.com/office/drawing/2014/main" id="{3F8E076B-E3CE-42C7-A30F-C34686687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317909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268</xdr:row>
      <xdr:rowOff>256</xdr:rowOff>
    </xdr:from>
    <xdr:ext cx="2141855" cy="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ECFA5342-BC24-45CC-9EB2-90535DF7B608}"/>
            </a:ext>
          </a:extLst>
        </xdr:cNvPr>
        <xdr:cNvSpPr/>
      </xdr:nvSpPr>
      <xdr:spPr>
        <a:xfrm>
          <a:off x="1650745" y="5385079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268</xdr:row>
      <xdr:rowOff>2</xdr:rowOff>
    </xdr:from>
    <xdr:ext cx="828675" cy="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258DD251-B715-4D8E-9C10-A33DA9DF5F36}"/>
            </a:ext>
          </a:extLst>
        </xdr:cNvPr>
        <xdr:cNvSpPr/>
      </xdr:nvSpPr>
      <xdr:spPr>
        <a:xfrm>
          <a:off x="550037" y="5385054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268</xdr:row>
      <xdr:rowOff>2</xdr:rowOff>
    </xdr:from>
    <xdr:ext cx="371475" cy="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149AF7C2-E4CD-4862-B95A-315F2EA9A656}"/>
            </a:ext>
          </a:extLst>
        </xdr:cNvPr>
        <xdr:cNvSpPr/>
      </xdr:nvSpPr>
      <xdr:spPr>
        <a:xfrm>
          <a:off x="8854440" y="5385054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269</xdr:row>
      <xdr:rowOff>15623</xdr:rowOff>
    </xdr:from>
    <xdr:ext cx="114300" cy="114300"/>
    <xdr:pic>
      <xdr:nvPicPr>
        <xdr:cNvPr id="212" name="image1.png">
          <a:extLst>
            <a:ext uri="{FF2B5EF4-FFF2-40B4-BE49-F238E27FC236}">
              <a16:creationId xmlns:a16="http://schemas.microsoft.com/office/drawing/2014/main" id="{19399D71-16D9-436D-8274-23C24665C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406428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272</xdr:row>
      <xdr:rowOff>6606</xdr:rowOff>
    </xdr:from>
    <xdr:ext cx="2141855" cy="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301DA6DD-69EA-4722-B2A1-DE6995F1BF19}"/>
            </a:ext>
          </a:extLst>
        </xdr:cNvPr>
        <xdr:cNvSpPr/>
      </xdr:nvSpPr>
      <xdr:spPr>
        <a:xfrm>
          <a:off x="1650745" y="5473344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272</xdr:row>
      <xdr:rowOff>6352</xdr:rowOff>
    </xdr:from>
    <xdr:ext cx="828675" cy="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DB987DBD-408A-4324-A5CB-B6269DB816C4}"/>
            </a:ext>
          </a:extLst>
        </xdr:cNvPr>
        <xdr:cNvSpPr/>
      </xdr:nvSpPr>
      <xdr:spPr>
        <a:xfrm>
          <a:off x="550037" y="5473319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272</xdr:row>
      <xdr:rowOff>6352</xdr:rowOff>
    </xdr:from>
    <xdr:ext cx="371475" cy="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67BF5545-1F17-4D12-99C6-8E1B0BFBA06E}"/>
            </a:ext>
          </a:extLst>
        </xdr:cNvPr>
        <xdr:cNvSpPr/>
      </xdr:nvSpPr>
      <xdr:spPr>
        <a:xfrm>
          <a:off x="8854440" y="5473319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274</xdr:row>
      <xdr:rowOff>21973</xdr:rowOff>
    </xdr:from>
    <xdr:ext cx="114300" cy="114300"/>
    <xdr:pic>
      <xdr:nvPicPr>
        <xdr:cNvPr id="216" name="image1.png">
          <a:extLst>
            <a:ext uri="{FF2B5EF4-FFF2-40B4-BE49-F238E27FC236}">
              <a16:creationId xmlns:a16="http://schemas.microsoft.com/office/drawing/2014/main" id="{DD073FFE-4E38-43F4-B957-CE19F2230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09933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277</xdr:row>
      <xdr:rowOff>256</xdr:rowOff>
    </xdr:from>
    <xdr:ext cx="2141855" cy="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2335C85B-E62E-4503-94E2-D4C3B79EAD0F}"/>
            </a:ext>
          </a:extLst>
        </xdr:cNvPr>
        <xdr:cNvSpPr/>
      </xdr:nvSpPr>
      <xdr:spPr>
        <a:xfrm>
          <a:off x="1668834" y="55771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277</xdr:row>
      <xdr:rowOff>2</xdr:rowOff>
    </xdr:from>
    <xdr:ext cx="828675" cy="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EF8C6A57-E3BC-4100-832D-DA58F2F2134F}"/>
            </a:ext>
          </a:extLst>
        </xdr:cNvPr>
        <xdr:cNvSpPr/>
      </xdr:nvSpPr>
      <xdr:spPr>
        <a:xfrm>
          <a:off x="489305" y="55770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277</xdr:row>
      <xdr:rowOff>2</xdr:rowOff>
    </xdr:from>
    <xdr:ext cx="371475" cy="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E79BDB19-BDE0-435D-90A3-9E6E2132828F}"/>
            </a:ext>
          </a:extLst>
        </xdr:cNvPr>
        <xdr:cNvSpPr/>
      </xdr:nvSpPr>
      <xdr:spPr>
        <a:xfrm>
          <a:off x="8854440" y="55770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278</xdr:row>
      <xdr:rowOff>15623</xdr:rowOff>
    </xdr:from>
    <xdr:ext cx="114300" cy="114300"/>
    <xdr:pic>
      <xdr:nvPicPr>
        <xdr:cNvPr id="220" name="image1.png">
          <a:extLst>
            <a:ext uri="{FF2B5EF4-FFF2-40B4-BE49-F238E27FC236}">
              <a16:creationId xmlns:a16="http://schemas.microsoft.com/office/drawing/2014/main" id="{D4A1CA91-480B-4148-8ACA-9E29F610F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984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281</xdr:row>
      <xdr:rowOff>6606</xdr:rowOff>
    </xdr:from>
    <xdr:ext cx="2141855" cy="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BBB7234C-484B-4C5B-82C2-C129ED656B30}"/>
            </a:ext>
          </a:extLst>
        </xdr:cNvPr>
        <xdr:cNvSpPr/>
      </xdr:nvSpPr>
      <xdr:spPr>
        <a:xfrm>
          <a:off x="1650745" y="56653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281</xdr:row>
      <xdr:rowOff>6352</xdr:rowOff>
    </xdr:from>
    <xdr:ext cx="828675" cy="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9AA5DF24-63CB-47FE-A860-C9605EA55926}"/>
            </a:ext>
          </a:extLst>
        </xdr:cNvPr>
        <xdr:cNvSpPr/>
      </xdr:nvSpPr>
      <xdr:spPr>
        <a:xfrm>
          <a:off x="550037" y="56653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281</xdr:row>
      <xdr:rowOff>6352</xdr:rowOff>
    </xdr:from>
    <xdr:ext cx="371475" cy="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48589FF8-5391-4583-8BDF-5796D0F9E04D}"/>
            </a:ext>
          </a:extLst>
        </xdr:cNvPr>
        <xdr:cNvSpPr/>
      </xdr:nvSpPr>
      <xdr:spPr>
        <a:xfrm>
          <a:off x="8854440" y="56653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282</xdr:row>
      <xdr:rowOff>21973</xdr:rowOff>
    </xdr:from>
    <xdr:ext cx="114300" cy="114300"/>
    <xdr:pic>
      <xdr:nvPicPr>
        <xdr:cNvPr id="224" name="image1.png">
          <a:extLst>
            <a:ext uri="{FF2B5EF4-FFF2-40B4-BE49-F238E27FC236}">
              <a16:creationId xmlns:a16="http://schemas.microsoft.com/office/drawing/2014/main" id="{26459A8A-6E9D-4815-8615-826455864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686717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285</xdr:row>
      <xdr:rowOff>256</xdr:rowOff>
    </xdr:from>
    <xdr:ext cx="2141855" cy="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78C993D1-226F-4F1E-A1B0-08272CF58580}"/>
            </a:ext>
          </a:extLst>
        </xdr:cNvPr>
        <xdr:cNvSpPr/>
      </xdr:nvSpPr>
      <xdr:spPr>
        <a:xfrm>
          <a:off x="1650745" y="57538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285</xdr:row>
      <xdr:rowOff>2</xdr:rowOff>
    </xdr:from>
    <xdr:ext cx="828675" cy="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02201754-5FE3-47EF-9815-AAEC0FAAC60A}"/>
            </a:ext>
          </a:extLst>
        </xdr:cNvPr>
        <xdr:cNvSpPr/>
      </xdr:nvSpPr>
      <xdr:spPr>
        <a:xfrm>
          <a:off x="550037" y="57538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285</xdr:row>
      <xdr:rowOff>2</xdr:rowOff>
    </xdr:from>
    <xdr:ext cx="371475" cy="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7AC2087A-DA87-401B-AF93-84993AFDBCBB}"/>
            </a:ext>
          </a:extLst>
        </xdr:cNvPr>
        <xdr:cNvSpPr/>
      </xdr:nvSpPr>
      <xdr:spPr>
        <a:xfrm>
          <a:off x="8854440" y="57538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286</xdr:row>
      <xdr:rowOff>15623</xdr:rowOff>
    </xdr:from>
    <xdr:ext cx="114300" cy="114300"/>
    <xdr:pic>
      <xdr:nvPicPr>
        <xdr:cNvPr id="228" name="image1.png">
          <a:extLst>
            <a:ext uri="{FF2B5EF4-FFF2-40B4-BE49-F238E27FC236}">
              <a16:creationId xmlns:a16="http://schemas.microsoft.com/office/drawing/2014/main" id="{ED31211B-DD31-40EB-AF47-77F3A7627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77523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289</xdr:row>
      <xdr:rowOff>6606</xdr:rowOff>
    </xdr:from>
    <xdr:ext cx="2141855" cy="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1730E483-3AC8-437C-94EC-0B20ED29296A}"/>
            </a:ext>
          </a:extLst>
        </xdr:cNvPr>
        <xdr:cNvSpPr/>
      </xdr:nvSpPr>
      <xdr:spPr>
        <a:xfrm>
          <a:off x="1650745" y="584215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289</xdr:row>
      <xdr:rowOff>6352</xdr:rowOff>
    </xdr:from>
    <xdr:ext cx="828675" cy="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BE316082-5FD9-4593-8CB6-2D83DDF8CC8E}"/>
            </a:ext>
          </a:extLst>
        </xdr:cNvPr>
        <xdr:cNvSpPr/>
      </xdr:nvSpPr>
      <xdr:spPr>
        <a:xfrm>
          <a:off x="550037" y="584212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289</xdr:row>
      <xdr:rowOff>6352</xdr:rowOff>
    </xdr:from>
    <xdr:ext cx="371475" cy="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2FB1D00D-0AB4-48E3-B970-A3E174C5E63E}"/>
            </a:ext>
          </a:extLst>
        </xdr:cNvPr>
        <xdr:cNvSpPr/>
      </xdr:nvSpPr>
      <xdr:spPr>
        <a:xfrm>
          <a:off x="8854440" y="584212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292</xdr:row>
      <xdr:rowOff>21973</xdr:rowOff>
    </xdr:from>
    <xdr:ext cx="114300" cy="114300"/>
    <xdr:pic>
      <xdr:nvPicPr>
        <xdr:cNvPr id="232" name="image1.png">
          <a:extLst>
            <a:ext uri="{FF2B5EF4-FFF2-40B4-BE49-F238E27FC236}">
              <a16:creationId xmlns:a16="http://schemas.microsoft.com/office/drawing/2014/main" id="{21160590-A9AD-4DCF-93B4-C91D66E83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893981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295</xdr:row>
      <xdr:rowOff>6603</xdr:rowOff>
    </xdr:from>
    <xdr:ext cx="2141855" cy="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01E2DB31-5CD4-45D6-919F-BFD755D50E8F}"/>
            </a:ext>
          </a:extLst>
        </xdr:cNvPr>
        <xdr:cNvSpPr/>
      </xdr:nvSpPr>
      <xdr:spPr>
        <a:xfrm>
          <a:off x="1650745" y="5951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295</xdr:row>
      <xdr:rowOff>6348</xdr:rowOff>
    </xdr:from>
    <xdr:ext cx="828675" cy="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C9B584D-9DB6-4764-9BDD-D68D3B96EF72}"/>
            </a:ext>
          </a:extLst>
        </xdr:cNvPr>
        <xdr:cNvSpPr/>
      </xdr:nvSpPr>
      <xdr:spPr>
        <a:xfrm>
          <a:off x="550037" y="5951092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295</xdr:row>
      <xdr:rowOff>6348</xdr:rowOff>
    </xdr:from>
    <xdr:ext cx="371475" cy="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D15B9CBB-1D8A-4037-804C-052881A81FAA}"/>
            </a:ext>
          </a:extLst>
        </xdr:cNvPr>
        <xdr:cNvSpPr/>
      </xdr:nvSpPr>
      <xdr:spPr>
        <a:xfrm>
          <a:off x="8854440" y="5951092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297</xdr:row>
      <xdr:rowOff>21969</xdr:rowOff>
    </xdr:from>
    <xdr:ext cx="114300" cy="114300"/>
    <xdr:pic>
      <xdr:nvPicPr>
        <xdr:cNvPr id="236" name="image1.png">
          <a:extLst>
            <a:ext uri="{FF2B5EF4-FFF2-40B4-BE49-F238E27FC236}">
              <a16:creationId xmlns:a16="http://schemas.microsoft.com/office/drawing/2014/main" id="{78F089BE-9853-42BA-9691-43B742E6B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9877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300</xdr:row>
      <xdr:rowOff>253</xdr:rowOff>
    </xdr:from>
    <xdr:ext cx="2141855" cy="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18E243F6-5306-41FA-B9CE-B8069D64EC89}"/>
            </a:ext>
          </a:extLst>
        </xdr:cNvPr>
        <xdr:cNvSpPr/>
      </xdr:nvSpPr>
      <xdr:spPr>
        <a:xfrm>
          <a:off x="1650745" y="60548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300</xdr:row>
      <xdr:rowOff>-1</xdr:rowOff>
    </xdr:from>
    <xdr:ext cx="828675" cy="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1209C24B-36E9-49FC-97E2-5D2B60B3CE51}"/>
            </a:ext>
          </a:extLst>
        </xdr:cNvPr>
        <xdr:cNvSpPr/>
      </xdr:nvSpPr>
      <xdr:spPr>
        <a:xfrm>
          <a:off x="550037" y="60548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300</xdr:row>
      <xdr:rowOff>-1</xdr:rowOff>
    </xdr:from>
    <xdr:ext cx="371475" cy="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42CA1759-EB1E-4D37-8FA1-9242911FBFAF}"/>
            </a:ext>
          </a:extLst>
        </xdr:cNvPr>
        <xdr:cNvSpPr/>
      </xdr:nvSpPr>
      <xdr:spPr>
        <a:xfrm>
          <a:off x="8854440" y="60548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301</xdr:row>
      <xdr:rowOff>15619</xdr:rowOff>
    </xdr:from>
    <xdr:ext cx="114300" cy="114300"/>
    <xdr:pic>
      <xdr:nvPicPr>
        <xdr:cNvPr id="240" name="image1.png">
          <a:extLst>
            <a:ext uri="{FF2B5EF4-FFF2-40B4-BE49-F238E27FC236}">
              <a16:creationId xmlns:a16="http://schemas.microsoft.com/office/drawing/2014/main" id="{DE539049-189B-416B-A091-386C5492C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0762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304</xdr:row>
      <xdr:rowOff>6603</xdr:rowOff>
    </xdr:from>
    <xdr:ext cx="2141855" cy="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D02D2CB4-5BA0-4539-935C-00B23EA87349}"/>
            </a:ext>
          </a:extLst>
        </xdr:cNvPr>
        <xdr:cNvSpPr/>
      </xdr:nvSpPr>
      <xdr:spPr>
        <a:xfrm>
          <a:off x="1650745" y="61431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304</xdr:row>
      <xdr:rowOff>6348</xdr:rowOff>
    </xdr:from>
    <xdr:ext cx="828675" cy="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6E8B8552-B067-413D-9D6F-ED8FD50607FD}"/>
            </a:ext>
          </a:extLst>
        </xdr:cNvPr>
        <xdr:cNvSpPr/>
      </xdr:nvSpPr>
      <xdr:spPr>
        <a:xfrm>
          <a:off x="550037" y="61431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304</xdr:row>
      <xdr:rowOff>6348</xdr:rowOff>
    </xdr:from>
    <xdr:ext cx="371475" cy="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CF354D66-E8E2-4A1E-B70C-74E65DC490D6}"/>
            </a:ext>
          </a:extLst>
        </xdr:cNvPr>
        <xdr:cNvSpPr/>
      </xdr:nvSpPr>
      <xdr:spPr>
        <a:xfrm>
          <a:off x="8854440" y="61431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305</xdr:row>
      <xdr:rowOff>21969</xdr:rowOff>
    </xdr:from>
    <xdr:ext cx="114300" cy="114300"/>
    <xdr:pic>
      <xdr:nvPicPr>
        <xdr:cNvPr id="244" name="image1.png">
          <a:extLst>
            <a:ext uri="{FF2B5EF4-FFF2-40B4-BE49-F238E27FC236}">
              <a16:creationId xmlns:a16="http://schemas.microsoft.com/office/drawing/2014/main" id="{C357668B-CBE4-4405-9C19-3365B5983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16449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308</xdr:row>
      <xdr:rowOff>253</xdr:rowOff>
    </xdr:from>
    <xdr:ext cx="2141855" cy="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9D43ABCC-9CED-4D8F-86A6-756B0B5B6857}"/>
            </a:ext>
          </a:extLst>
        </xdr:cNvPr>
        <xdr:cNvSpPr/>
      </xdr:nvSpPr>
      <xdr:spPr>
        <a:xfrm>
          <a:off x="1650745" y="623166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308</xdr:row>
      <xdr:rowOff>-1</xdr:rowOff>
    </xdr:from>
    <xdr:ext cx="828675" cy="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9D6FF78F-6094-4954-A231-74018398D4BF}"/>
            </a:ext>
          </a:extLst>
        </xdr:cNvPr>
        <xdr:cNvSpPr/>
      </xdr:nvSpPr>
      <xdr:spPr>
        <a:xfrm>
          <a:off x="550037" y="623163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308</xdr:row>
      <xdr:rowOff>-1</xdr:rowOff>
    </xdr:from>
    <xdr:ext cx="371475" cy="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835388F9-D886-4D15-AB38-6852741DE6CB}"/>
            </a:ext>
          </a:extLst>
        </xdr:cNvPr>
        <xdr:cNvSpPr/>
      </xdr:nvSpPr>
      <xdr:spPr>
        <a:xfrm>
          <a:off x="8854440" y="623163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309</xdr:row>
      <xdr:rowOff>15619</xdr:rowOff>
    </xdr:from>
    <xdr:ext cx="114300" cy="114300"/>
    <xdr:pic>
      <xdr:nvPicPr>
        <xdr:cNvPr id="248" name="image1.png">
          <a:extLst>
            <a:ext uri="{FF2B5EF4-FFF2-40B4-BE49-F238E27FC236}">
              <a16:creationId xmlns:a16="http://schemas.microsoft.com/office/drawing/2014/main" id="{3FB9CF9C-68FD-444A-9D88-E58A425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253009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312</xdr:row>
      <xdr:rowOff>6603</xdr:rowOff>
    </xdr:from>
    <xdr:ext cx="2141855" cy="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66A666FD-EEDC-4CD8-8F64-2079E3C90E3D}"/>
            </a:ext>
          </a:extLst>
        </xdr:cNvPr>
        <xdr:cNvSpPr/>
      </xdr:nvSpPr>
      <xdr:spPr>
        <a:xfrm>
          <a:off x="1650745" y="631992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312</xdr:row>
      <xdr:rowOff>6348</xdr:rowOff>
    </xdr:from>
    <xdr:ext cx="828675" cy="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972834BA-598F-44D2-B1FB-87E4E56AC32E}"/>
            </a:ext>
          </a:extLst>
        </xdr:cNvPr>
        <xdr:cNvSpPr/>
      </xdr:nvSpPr>
      <xdr:spPr>
        <a:xfrm>
          <a:off x="550037" y="6319900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312</xdr:row>
      <xdr:rowOff>6348</xdr:rowOff>
    </xdr:from>
    <xdr:ext cx="371475" cy="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1B050455-FB37-4388-AA4A-106FEE011002}"/>
            </a:ext>
          </a:extLst>
        </xdr:cNvPr>
        <xdr:cNvSpPr/>
      </xdr:nvSpPr>
      <xdr:spPr>
        <a:xfrm>
          <a:off x="8854440" y="6319900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313</xdr:row>
      <xdr:rowOff>21969</xdr:rowOff>
    </xdr:from>
    <xdr:ext cx="114300" cy="114300"/>
    <xdr:pic>
      <xdr:nvPicPr>
        <xdr:cNvPr id="252" name="image1.png">
          <a:extLst>
            <a:ext uri="{FF2B5EF4-FFF2-40B4-BE49-F238E27FC236}">
              <a16:creationId xmlns:a16="http://schemas.microsoft.com/office/drawing/2014/main" id="{2D494093-36FA-495E-BB9E-2BC630836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3412749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317</xdr:row>
      <xdr:rowOff>15619</xdr:rowOff>
    </xdr:from>
    <xdr:ext cx="114300" cy="114300"/>
    <xdr:pic>
      <xdr:nvPicPr>
        <xdr:cNvPr id="253" name="image1.png">
          <a:extLst>
            <a:ext uri="{FF2B5EF4-FFF2-40B4-BE49-F238E27FC236}">
              <a16:creationId xmlns:a16="http://schemas.microsoft.com/office/drawing/2014/main" id="{6E49F108-5AEF-4159-8ACB-90161F0C3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4297939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321</xdr:row>
      <xdr:rowOff>260348</xdr:rowOff>
    </xdr:from>
    <xdr:ext cx="828675" cy="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B69149F9-93A2-4693-B53B-01117AAD1007}"/>
            </a:ext>
          </a:extLst>
        </xdr:cNvPr>
        <xdr:cNvSpPr/>
      </xdr:nvSpPr>
      <xdr:spPr>
        <a:xfrm>
          <a:off x="551688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321</xdr:row>
      <xdr:rowOff>260603</xdr:rowOff>
    </xdr:from>
    <xdr:ext cx="2141855" cy="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F49B6279-0826-4C5B-ADC5-77B04E14E2C0}"/>
            </a:ext>
          </a:extLst>
        </xdr:cNvPr>
        <xdr:cNvSpPr/>
      </xdr:nvSpPr>
      <xdr:spPr>
        <a:xfrm>
          <a:off x="1645920" y="650001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321</xdr:row>
      <xdr:rowOff>260348</xdr:rowOff>
    </xdr:from>
    <xdr:ext cx="828675" cy="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F3EAD914-64E4-4B0C-AAFB-5EEB0AA1A17A}"/>
            </a:ext>
          </a:extLst>
        </xdr:cNvPr>
        <xdr:cNvSpPr/>
      </xdr:nvSpPr>
      <xdr:spPr>
        <a:xfrm>
          <a:off x="550037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321</xdr:row>
      <xdr:rowOff>260348</xdr:rowOff>
    </xdr:from>
    <xdr:ext cx="828675" cy="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1B371DAA-F718-408E-BD29-C12BA7FEAB50}"/>
            </a:ext>
          </a:extLst>
        </xdr:cNvPr>
        <xdr:cNvSpPr/>
      </xdr:nvSpPr>
      <xdr:spPr>
        <a:xfrm>
          <a:off x="774192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321</xdr:row>
      <xdr:rowOff>260348</xdr:rowOff>
    </xdr:from>
    <xdr:ext cx="828675" cy="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664C9EEE-89EF-4368-9A03-B90E533BEBC6}"/>
            </a:ext>
          </a:extLst>
        </xdr:cNvPr>
        <xdr:cNvSpPr/>
      </xdr:nvSpPr>
      <xdr:spPr>
        <a:xfrm>
          <a:off x="4419663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321</xdr:row>
      <xdr:rowOff>260348</xdr:rowOff>
    </xdr:from>
    <xdr:ext cx="828675" cy="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7A5D909E-138D-4CC4-9F24-78983423B49A}"/>
            </a:ext>
          </a:extLst>
        </xdr:cNvPr>
        <xdr:cNvSpPr/>
      </xdr:nvSpPr>
      <xdr:spPr>
        <a:xfrm>
          <a:off x="662940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321</xdr:row>
      <xdr:rowOff>260348</xdr:rowOff>
    </xdr:from>
    <xdr:ext cx="371475" cy="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F70B922E-2443-4D17-97EF-6D8F18240C6F}"/>
            </a:ext>
          </a:extLst>
        </xdr:cNvPr>
        <xdr:cNvSpPr/>
      </xdr:nvSpPr>
      <xdr:spPr>
        <a:xfrm>
          <a:off x="8854440" y="649998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322</xdr:row>
      <xdr:rowOff>21969</xdr:rowOff>
    </xdr:from>
    <xdr:ext cx="114300" cy="114300"/>
    <xdr:pic>
      <xdr:nvPicPr>
        <xdr:cNvPr id="261" name="image1.png">
          <a:extLst>
            <a:ext uri="{FF2B5EF4-FFF2-40B4-BE49-F238E27FC236}">
              <a16:creationId xmlns:a16="http://schemas.microsoft.com/office/drawing/2014/main" id="{1FD550C2-AED4-4F25-A5E4-071D1F510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5211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325</xdr:row>
      <xdr:rowOff>253</xdr:rowOff>
    </xdr:from>
    <xdr:ext cx="2141855" cy="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9A2427D8-DE5F-4936-B899-4D157AF798D1}"/>
            </a:ext>
          </a:extLst>
        </xdr:cNvPr>
        <xdr:cNvSpPr/>
      </xdr:nvSpPr>
      <xdr:spPr>
        <a:xfrm>
          <a:off x="1646173" y="65882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325</xdr:row>
      <xdr:rowOff>-1</xdr:rowOff>
    </xdr:from>
    <xdr:ext cx="828675" cy="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7DD31A4E-FB93-45EC-A790-3CC5F92E9D77}"/>
            </a:ext>
          </a:extLst>
        </xdr:cNvPr>
        <xdr:cNvSpPr/>
      </xdr:nvSpPr>
      <xdr:spPr>
        <a:xfrm>
          <a:off x="548640" y="65882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325</xdr:row>
      <xdr:rowOff>-1</xdr:rowOff>
    </xdr:from>
    <xdr:ext cx="371475" cy="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2B644598-544B-4C88-A826-B256D6DB788A}"/>
            </a:ext>
          </a:extLst>
        </xdr:cNvPr>
        <xdr:cNvSpPr/>
      </xdr:nvSpPr>
      <xdr:spPr>
        <a:xfrm>
          <a:off x="8854440" y="65882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326</xdr:row>
      <xdr:rowOff>15619</xdr:rowOff>
    </xdr:from>
    <xdr:ext cx="114300" cy="114300"/>
    <xdr:pic>
      <xdr:nvPicPr>
        <xdr:cNvPr id="265" name="image1.png">
          <a:extLst>
            <a:ext uri="{FF2B5EF4-FFF2-40B4-BE49-F238E27FC236}">
              <a16:creationId xmlns:a16="http://schemas.microsoft.com/office/drawing/2014/main" id="{893E669C-2F7D-456D-9179-5B79DBD21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6096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329</xdr:row>
      <xdr:rowOff>6603</xdr:rowOff>
    </xdr:from>
    <xdr:ext cx="2141855" cy="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74619D23-48B6-4C87-85AC-01D6787AB0E9}"/>
            </a:ext>
          </a:extLst>
        </xdr:cNvPr>
        <xdr:cNvSpPr/>
      </xdr:nvSpPr>
      <xdr:spPr>
        <a:xfrm>
          <a:off x="1646173" y="66765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329</xdr:row>
      <xdr:rowOff>6348</xdr:rowOff>
    </xdr:from>
    <xdr:ext cx="828675" cy="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5C42E7CB-EA7B-4B31-904C-A9C667198240}"/>
            </a:ext>
          </a:extLst>
        </xdr:cNvPr>
        <xdr:cNvSpPr/>
      </xdr:nvSpPr>
      <xdr:spPr>
        <a:xfrm>
          <a:off x="550037" y="66765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329</xdr:row>
      <xdr:rowOff>6348</xdr:rowOff>
    </xdr:from>
    <xdr:ext cx="371475" cy="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27E89DC4-773B-4B63-A3B2-795A37B69766}"/>
            </a:ext>
          </a:extLst>
        </xdr:cNvPr>
        <xdr:cNvSpPr/>
      </xdr:nvSpPr>
      <xdr:spPr>
        <a:xfrm>
          <a:off x="8854440" y="66765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332</xdr:row>
      <xdr:rowOff>21969</xdr:rowOff>
    </xdr:from>
    <xdr:ext cx="114300" cy="114300"/>
    <xdr:pic>
      <xdr:nvPicPr>
        <xdr:cNvPr id="269" name="image1.png">
          <a:extLst>
            <a:ext uri="{FF2B5EF4-FFF2-40B4-BE49-F238E27FC236}">
              <a16:creationId xmlns:a16="http://schemas.microsoft.com/office/drawing/2014/main" id="{46636759-8161-4902-BFD2-89429974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72837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335</xdr:row>
      <xdr:rowOff>6605</xdr:rowOff>
    </xdr:from>
    <xdr:ext cx="2141855" cy="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A52702C7-8D56-44F9-9EF7-DE9E35971B65}"/>
            </a:ext>
          </a:extLst>
        </xdr:cNvPr>
        <xdr:cNvSpPr/>
      </xdr:nvSpPr>
      <xdr:spPr>
        <a:xfrm>
          <a:off x="1667509" y="678550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335</xdr:row>
      <xdr:rowOff>6351</xdr:rowOff>
    </xdr:from>
    <xdr:ext cx="828675" cy="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2F27EAA1-DD2A-4FCC-AC7E-843A4A024EE7}"/>
            </a:ext>
          </a:extLst>
        </xdr:cNvPr>
        <xdr:cNvSpPr/>
      </xdr:nvSpPr>
      <xdr:spPr>
        <a:xfrm>
          <a:off x="550037" y="678548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335</xdr:row>
      <xdr:rowOff>6351</xdr:rowOff>
    </xdr:from>
    <xdr:ext cx="371475" cy="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B5BFC801-6937-4454-B0AF-48C11DBD51AB}"/>
            </a:ext>
          </a:extLst>
        </xdr:cNvPr>
        <xdr:cNvSpPr/>
      </xdr:nvSpPr>
      <xdr:spPr>
        <a:xfrm>
          <a:off x="8854440" y="678548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337</xdr:row>
      <xdr:rowOff>21971</xdr:rowOff>
    </xdr:from>
    <xdr:ext cx="114300" cy="114300"/>
    <xdr:pic>
      <xdr:nvPicPr>
        <xdr:cNvPr id="273" name="image1.png">
          <a:extLst>
            <a:ext uri="{FF2B5EF4-FFF2-40B4-BE49-F238E27FC236}">
              <a16:creationId xmlns:a16="http://schemas.microsoft.com/office/drawing/2014/main" id="{A6AAD66E-3035-40A4-8676-3DB811827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82209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340</xdr:row>
      <xdr:rowOff>255</xdr:rowOff>
    </xdr:from>
    <xdr:ext cx="2141855" cy="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5096C39F-BE3A-4D3F-B7BA-D7DE72AA3AE6}"/>
            </a:ext>
          </a:extLst>
        </xdr:cNvPr>
        <xdr:cNvSpPr/>
      </xdr:nvSpPr>
      <xdr:spPr>
        <a:xfrm>
          <a:off x="1667509" y="688926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340</xdr:row>
      <xdr:rowOff>1</xdr:rowOff>
    </xdr:from>
    <xdr:ext cx="828675" cy="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D2DA460B-14EA-4B85-B535-E5CBB2EA7A0C}"/>
            </a:ext>
          </a:extLst>
        </xdr:cNvPr>
        <xdr:cNvSpPr/>
      </xdr:nvSpPr>
      <xdr:spPr>
        <a:xfrm>
          <a:off x="550037" y="688924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340</xdr:row>
      <xdr:rowOff>1</xdr:rowOff>
    </xdr:from>
    <xdr:ext cx="371475" cy="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C432C040-E9BC-4607-921A-E52A3FE38173}"/>
            </a:ext>
          </a:extLst>
        </xdr:cNvPr>
        <xdr:cNvSpPr/>
      </xdr:nvSpPr>
      <xdr:spPr>
        <a:xfrm>
          <a:off x="8854440" y="688924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341</xdr:row>
      <xdr:rowOff>15621</xdr:rowOff>
    </xdr:from>
    <xdr:ext cx="114300" cy="114300"/>
    <xdr:pic>
      <xdr:nvPicPr>
        <xdr:cNvPr id="277" name="image1.png">
          <a:extLst>
            <a:ext uri="{FF2B5EF4-FFF2-40B4-BE49-F238E27FC236}">
              <a16:creationId xmlns:a16="http://schemas.microsoft.com/office/drawing/2014/main" id="{532C6A18-8E3A-40E8-8CA2-15AD977F4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1061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343</xdr:row>
      <xdr:rowOff>324105</xdr:rowOff>
    </xdr:from>
    <xdr:ext cx="2141855" cy="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F65E55C0-36C7-42E8-94A1-CC58843744D7}"/>
            </a:ext>
          </a:extLst>
        </xdr:cNvPr>
        <xdr:cNvSpPr/>
      </xdr:nvSpPr>
      <xdr:spPr>
        <a:xfrm>
          <a:off x="1668834" y="6978040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343</xdr:row>
      <xdr:rowOff>323851</xdr:rowOff>
    </xdr:from>
    <xdr:ext cx="828675" cy="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28D7AA17-B6E0-4B8B-AA53-6A6435891508}"/>
            </a:ext>
          </a:extLst>
        </xdr:cNvPr>
        <xdr:cNvSpPr/>
      </xdr:nvSpPr>
      <xdr:spPr>
        <a:xfrm>
          <a:off x="548640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343</xdr:row>
      <xdr:rowOff>323851</xdr:rowOff>
    </xdr:from>
    <xdr:ext cx="828675" cy="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0A56F978-4B7B-4067-A85E-5EF8821904EE}"/>
            </a:ext>
          </a:extLst>
        </xdr:cNvPr>
        <xdr:cNvSpPr/>
      </xdr:nvSpPr>
      <xdr:spPr>
        <a:xfrm>
          <a:off x="4437507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343</xdr:row>
      <xdr:rowOff>323851</xdr:rowOff>
    </xdr:from>
    <xdr:ext cx="371475" cy="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4D32F146-B065-4DC2-BCC9-791993626D58}"/>
            </a:ext>
          </a:extLst>
        </xdr:cNvPr>
        <xdr:cNvSpPr/>
      </xdr:nvSpPr>
      <xdr:spPr>
        <a:xfrm>
          <a:off x="8837421" y="6978015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345</xdr:row>
      <xdr:rowOff>3176</xdr:rowOff>
    </xdr:from>
    <xdr:ext cx="828675" cy="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97CD6309-153E-4D7E-A400-810D7D706ED1}"/>
            </a:ext>
          </a:extLst>
        </xdr:cNvPr>
        <xdr:cNvSpPr/>
      </xdr:nvSpPr>
      <xdr:spPr>
        <a:xfrm>
          <a:off x="4424807" y="6997763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345</xdr:row>
      <xdr:rowOff>21971</xdr:rowOff>
    </xdr:from>
    <xdr:ext cx="114300" cy="114300"/>
    <xdr:pic>
      <xdr:nvPicPr>
        <xdr:cNvPr id="283" name="image1.png">
          <a:extLst>
            <a:ext uri="{FF2B5EF4-FFF2-40B4-BE49-F238E27FC236}">
              <a16:creationId xmlns:a16="http://schemas.microsoft.com/office/drawing/2014/main" id="{80C6A2A4-4D23-4B36-85AF-3CEE4E62A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9964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348</xdr:row>
      <xdr:rowOff>255</xdr:rowOff>
    </xdr:from>
    <xdr:ext cx="2141855" cy="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8F33F5CE-E443-4A1D-89BE-7E9AEBEC6D00}"/>
            </a:ext>
          </a:extLst>
        </xdr:cNvPr>
        <xdr:cNvSpPr/>
      </xdr:nvSpPr>
      <xdr:spPr>
        <a:xfrm>
          <a:off x="1650745" y="7066813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348</xdr:row>
      <xdr:rowOff>1</xdr:rowOff>
    </xdr:from>
    <xdr:ext cx="828675" cy="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5E172300-53AA-4A10-9A9B-8A4E242BCDB9}"/>
            </a:ext>
          </a:extLst>
        </xdr:cNvPr>
        <xdr:cNvSpPr/>
      </xdr:nvSpPr>
      <xdr:spPr>
        <a:xfrm>
          <a:off x="550037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348</xdr:row>
      <xdr:rowOff>1</xdr:rowOff>
    </xdr:from>
    <xdr:ext cx="828675" cy="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D16AFCCE-D535-48F2-9041-2FBC325EE559}"/>
            </a:ext>
          </a:extLst>
        </xdr:cNvPr>
        <xdr:cNvSpPr/>
      </xdr:nvSpPr>
      <xdr:spPr>
        <a:xfrm>
          <a:off x="4403804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348</xdr:row>
      <xdr:rowOff>1</xdr:rowOff>
    </xdr:from>
    <xdr:ext cx="371475" cy="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3B73E3B1-0A56-44C4-8AD3-09E601331C65}"/>
            </a:ext>
          </a:extLst>
        </xdr:cNvPr>
        <xdr:cNvSpPr/>
      </xdr:nvSpPr>
      <xdr:spPr>
        <a:xfrm>
          <a:off x="8854440" y="7066788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350</xdr:row>
      <xdr:rowOff>187326</xdr:rowOff>
    </xdr:from>
    <xdr:ext cx="828675" cy="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6E6DBB0E-F24C-4050-9416-0317DC965898}"/>
            </a:ext>
          </a:extLst>
        </xdr:cNvPr>
        <xdr:cNvSpPr/>
      </xdr:nvSpPr>
      <xdr:spPr>
        <a:xfrm>
          <a:off x="4424807" y="7116762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351</xdr:row>
      <xdr:rowOff>15621</xdr:rowOff>
    </xdr:from>
    <xdr:ext cx="114300" cy="114300"/>
    <xdr:pic>
      <xdr:nvPicPr>
        <xdr:cNvPr id="289" name="image1.png">
          <a:extLst>
            <a:ext uri="{FF2B5EF4-FFF2-40B4-BE49-F238E27FC236}">
              <a16:creationId xmlns:a16="http://schemas.microsoft.com/office/drawing/2014/main" id="{B7A5171A-7559-444D-9EE4-9BA0D24C0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118642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354</xdr:row>
      <xdr:rowOff>6605</xdr:rowOff>
    </xdr:from>
    <xdr:ext cx="2141855" cy="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DB55D2A4-22B9-4385-ADA0-5B34BBD6F34B}"/>
            </a:ext>
          </a:extLst>
        </xdr:cNvPr>
        <xdr:cNvSpPr/>
      </xdr:nvSpPr>
      <xdr:spPr>
        <a:xfrm>
          <a:off x="1650745" y="71855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354</xdr:row>
      <xdr:rowOff>6351</xdr:rowOff>
    </xdr:from>
    <xdr:ext cx="828675" cy="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1BD5EB1F-3FE6-46BF-80E5-E15D9331F388}"/>
            </a:ext>
          </a:extLst>
        </xdr:cNvPr>
        <xdr:cNvSpPr/>
      </xdr:nvSpPr>
      <xdr:spPr>
        <a:xfrm>
          <a:off x="550037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354</xdr:row>
      <xdr:rowOff>6351</xdr:rowOff>
    </xdr:from>
    <xdr:ext cx="828675" cy="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BAA8B6DE-A4CD-42EF-BD17-E408B81734AA}"/>
            </a:ext>
          </a:extLst>
        </xdr:cNvPr>
        <xdr:cNvSpPr/>
      </xdr:nvSpPr>
      <xdr:spPr>
        <a:xfrm>
          <a:off x="4403804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354</xdr:row>
      <xdr:rowOff>6351</xdr:rowOff>
    </xdr:from>
    <xdr:ext cx="371475" cy="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C1899BBB-0290-4BB4-823B-BADB48622A65}"/>
            </a:ext>
          </a:extLst>
        </xdr:cNvPr>
        <xdr:cNvSpPr/>
      </xdr:nvSpPr>
      <xdr:spPr>
        <a:xfrm>
          <a:off x="8854440" y="71855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355</xdr:row>
      <xdr:rowOff>3176</xdr:rowOff>
    </xdr:from>
    <xdr:ext cx="828675" cy="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AAF987C0-478A-472B-8441-6B3DF816DF1E}"/>
            </a:ext>
          </a:extLst>
        </xdr:cNvPr>
        <xdr:cNvSpPr/>
      </xdr:nvSpPr>
      <xdr:spPr>
        <a:xfrm>
          <a:off x="4424807" y="7205027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355</xdr:row>
      <xdr:rowOff>21971</xdr:rowOff>
    </xdr:from>
    <xdr:ext cx="114300" cy="114300"/>
    <xdr:pic>
      <xdr:nvPicPr>
        <xdr:cNvPr id="295" name="image1.png">
          <a:extLst>
            <a:ext uri="{FF2B5EF4-FFF2-40B4-BE49-F238E27FC236}">
              <a16:creationId xmlns:a16="http://schemas.microsoft.com/office/drawing/2014/main" id="{9BEB787E-45C2-46EC-96E6-5DB638F31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0690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358</xdr:row>
      <xdr:rowOff>255</xdr:rowOff>
    </xdr:from>
    <xdr:ext cx="2141855" cy="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F96C0947-7847-404E-BFAA-400F741EA848}"/>
            </a:ext>
          </a:extLst>
        </xdr:cNvPr>
        <xdr:cNvSpPr/>
      </xdr:nvSpPr>
      <xdr:spPr>
        <a:xfrm>
          <a:off x="1650745" y="727407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358</xdr:row>
      <xdr:rowOff>1</xdr:rowOff>
    </xdr:from>
    <xdr:ext cx="828675" cy="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F9CC55B5-5C11-4A5C-8C66-2D42E5A7CB00}"/>
            </a:ext>
          </a:extLst>
        </xdr:cNvPr>
        <xdr:cNvSpPr/>
      </xdr:nvSpPr>
      <xdr:spPr>
        <a:xfrm>
          <a:off x="550037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358</xdr:row>
      <xdr:rowOff>1</xdr:rowOff>
    </xdr:from>
    <xdr:ext cx="828675" cy="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1223CB06-01F8-4E25-8475-675621F49356}"/>
            </a:ext>
          </a:extLst>
        </xdr:cNvPr>
        <xdr:cNvSpPr/>
      </xdr:nvSpPr>
      <xdr:spPr>
        <a:xfrm>
          <a:off x="4403804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358</xdr:row>
      <xdr:rowOff>1</xdr:rowOff>
    </xdr:from>
    <xdr:ext cx="371475" cy="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58B8E6AF-C97B-4F8B-AB81-DA7B6FD57759}"/>
            </a:ext>
          </a:extLst>
        </xdr:cNvPr>
        <xdr:cNvSpPr/>
      </xdr:nvSpPr>
      <xdr:spPr>
        <a:xfrm>
          <a:off x="8854440" y="727405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358</xdr:row>
      <xdr:rowOff>200026</xdr:rowOff>
    </xdr:from>
    <xdr:ext cx="828675" cy="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9B199AE8-74C2-46B6-9446-012B6014073A}"/>
            </a:ext>
          </a:extLst>
        </xdr:cNvPr>
        <xdr:cNvSpPr/>
      </xdr:nvSpPr>
      <xdr:spPr>
        <a:xfrm>
          <a:off x="4424807" y="7294054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359</xdr:row>
      <xdr:rowOff>15621</xdr:rowOff>
    </xdr:from>
    <xdr:ext cx="114300" cy="114300"/>
    <xdr:pic>
      <xdr:nvPicPr>
        <xdr:cNvPr id="301" name="image1.png">
          <a:extLst>
            <a:ext uri="{FF2B5EF4-FFF2-40B4-BE49-F238E27FC236}">
              <a16:creationId xmlns:a16="http://schemas.microsoft.com/office/drawing/2014/main" id="{7F790EC7-0DA4-433B-AD25-78D42C7CD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9542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362</xdr:row>
      <xdr:rowOff>6605</xdr:rowOff>
    </xdr:from>
    <xdr:ext cx="2141855" cy="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AFEA1D5C-A9E0-44EA-A0DA-71E3A45A735E}"/>
            </a:ext>
          </a:extLst>
        </xdr:cNvPr>
        <xdr:cNvSpPr/>
      </xdr:nvSpPr>
      <xdr:spPr>
        <a:xfrm>
          <a:off x="1650745" y="736234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362</xdr:row>
      <xdr:rowOff>6351</xdr:rowOff>
    </xdr:from>
    <xdr:ext cx="828675" cy="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BBE6E86A-8C1F-4C12-815B-DCEE88C163D6}"/>
            </a:ext>
          </a:extLst>
        </xdr:cNvPr>
        <xdr:cNvSpPr/>
      </xdr:nvSpPr>
      <xdr:spPr>
        <a:xfrm>
          <a:off x="550037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362</xdr:row>
      <xdr:rowOff>6351</xdr:rowOff>
    </xdr:from>
    <xdr:ext cx="828675" cy="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B1442BBF-4F63-4D2B-9BD6-E3FDDC97409E}"/>
            </a:ext>
          </a:extLst>
        </xdr:cNvPr>
        <xdr:cNvSpPr/>
      </xdr:nvSpPr>
      <xdr:spPr>
        <a:xfrm>
          <a:off x="4403804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362</xdr:row>
      <xdr:rowOff>6351</xdr:rowOff>
    </xdr:from>
    <xdr:ext cx="371475" cy="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F9A71087-54BE-46BB-8BB9-522C856DE28B}"/>
            </a:ext>
          </a:extLst>
        </xdr:cNvPr>
        <xdr:cNvSpPr/>
      </xdr:nvSpPr>
      <xdr:spPr>
        <a:xfrm>
          <a:off x="8854440" y="736231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363</xdr:row>
      <xdr:rowOff>3176</xdr:rowOff>
    </xdr:from>
    <xdr:ext cx="828675" cy="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29D8286D-0631-413C-A55E-CD575F5069D3}"/>
            </a:ext>
          </a:extLst>
        </xdr:cNvPr>
        <xdr:cNvSpPr/>
      </xdr:nvSpPr>
      <xdr:spPr>
        <a:xfrm>
          <a:off x="4424807" y="7381811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363</xdr:row>
      <xdr:rowOff>21971</xdr:rowOff>
    </xdr:from>
    <xdr:ext cx="114300" cy="114300"/>
    <xdr:pic>
      <xdr:nvPicPr>
        <xdr:cNvPr id="307" name="image1.png">
          <a:extLst>
            <a:ext uri="{FF2B5EF4-FFF2-40B4-BE49-F238E27FC236}">
              <a16:creationId xmlns:a16="http://schemas.microsoft.com/office/drawing/2014/main" id="{B1D3FDDC-640B-469C-B81A-F9019D602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383691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366</xdr:row>
      <xdr:rowOff>255</xdr:rowOff>
    </xdr:from>
    <xdr:ext cx="2141855" cy="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53894B2E-E3C0-46B9-B6F1-D1A3F0E237A3}"/>
            </a:ext>
          </a:extLst>
        </xdr:cNvPr>
        <xdr:cNvSpPr/>
      </xdr:nvSpPr>
      <xdr:spPr>
        <a:xfrm>
          <a:off x="1650745" y="7450861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366</xdr:row>
      <xdr:rowOff>1</xdr:rowOff>
    </xdr:from>
    <xdr:ext cx="828675" cy="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3DF6D68C-619C-42FB-9BF2-C09150B90FED}"/>
            </a:ext>
          </a:extLst>
        </xdr:cNvPr>
        <xdr:cNvSpPr/>
      </xdr:nvSpPr>
      <xdr:spPr>
        <a:xfrm>
          <a:off x="550037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366</xdr:row>
      <xdr:rowOff>1</xdr:rowOff>
    </xdr:from>
    <xdr:ext cx="828675" cy="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D0C07361-60A1-4537-BEE9-1A710C4E78DC}"/>
            </a:ext>
          </a:extLst>
        </xdr:cNvPr>
        <xdr:cNvSpPr/>
      </xdr:nvSpPr>
      <xdr:spPr>
        <a:xfrm>
          <a:off x="4403804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366</xdr:row>
      <xdr:rowOff>1</xdr:rowOff>
    </xdr:from>
    <xdr:ext cx="371475" cy="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BA41D3D3-9EA1-4A1F-A9AE-61C857A13B0D}"/>
            </a:ext>
          </a:extLst>
        </xdr:cNvPr>
        <xdr:cNvSpPr/>
      </xdr:nvSpPr>
      <xdr:spPr>
        <a:xfrm>
          <a:off x="8854440" y="7450836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366</xdr:row>
      <xdr:rowOff>200026</xdr:rowOff>
    </xdr:from>
    <xdr:ext cx="828675" cy="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DE8ED901-E7B0-4F70-A99F-AD822121613B}"/>
            </a:ext>
          </a:extLst>
        </xdr:cNvPr>
        <xdr:cNvSpPr/>
      </xdr:nvSpPr>
      <xdr:spPr>
        <a:xfrm>
          <a:off x="4424807" y="7470838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367</xdr:row>
      <xdr:rowOff>15621</xdr:rowOff>
    </xdr:from>
    <xdr:ext cx="114300" cy="114300"/>
    <xdr:pic>
      <xdr:nvPicPr>
        <xdr:cNvPr id="313" name="image1.png">
          <a:extLst>
            <a:ext uri="{FF2B5EF4-FFF2-40B4-BE49-F238E27FC236}">
              <a16:creationId xmlns:a16="http://schemas.microsoft.com/office/drawing/2014/main" id="{09BE4A9A-ECF8-47D2-A330-05869288C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472210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371</xdr:row>
      <xdr:rowOff>21971</xdr:rowOff>
    </xdr:from>
    <xdr:ext cx="114300" cy="114300"/>
    <xdr:pic>
      <xdr:nvPicPr>
        <xdr:cNvPr id="314" name="image1.png">
          <a:extLst>
            <a:ext uri="{FF2B5EF4-FFF2-40B4-BE49-F238E27FC236}">
              <a16:creationId xmlns:a16="http://schemas.microsoft.com/office/drawing/2014/main" id="{D9F9CEC2-EDD3-4FE0-93F2-B09908D6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561237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374</xdr:row>
      <xdr:rowOff>260347</xdr:rowOff>
    </xdr:from>
    <xdr:ext cx="828675" cy="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9B57D262-90A3-4C7A-AC96-84CD77978D76}"/>
            </a:ext>
          </a:extLst>
        </xdr:cNvPr>
        <xdr:cNvSpPr/>
      </xdr:nvSpPr>
      <xdr:spPr>
        <a:xfrm>
          <a:off x="551688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374</xdr:row>
      <xdr:rowOff>260601</xdr:rowOff>
    </xdr:from>
    <xdr:ext cx="2141855" cy="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E6924A22-FAA2-47F3-8792-A1C986075610}"/>
            </a:ext>
          </a:extLst>
        </xdr:cNvPr>
        <xdr:cNvSpPr/>
      </xdr:nvSpPr>
      <xdr:spPr>
        <a:xfrm>
          <a:off x="1645920" y="7620152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374</xdr:row>
      <xdr:rowOff>260347</xdr:rowOff>
    </xdr:from>
    <xdr:ext cx="828675" cy="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B8579867-6A7A-40AC-BC65-AA92C607A075}"/>
            </a:ext>
          </a:extLst>
        </xdr:cNvPr>
        <xdr:cNvSpPr/>
      </xdr:nvSpPr>
      <xdr:spPr>
        <a:xfrm>
          <a:off x="550037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374</xdr:row>
      <xdr:rowOff>260347</xdr:rowOff>
    </xdr:from>
    <xdr:ext cx="828675" cy="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8AEC39B7-5CA0-4132-A666-0DCDF3DFADE7}"/>
            </a:ext>
          </a:extLst>
        </xdr:cNvPr>
        <xdr:cNvSpPr/>
      </xdr:nvSpPr>
      <xdr:spPr>
        <a:xfrm>
          <a:off x="774192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374</xdr:row>
      <xdr:rowOff>260347</xdr:rowOff>
    </xdr:from>
    <xdr:ext cx="828675" cy="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A60DD2E3-CFC8-407F-BFE2-81DAC5BF8FF3}"/>
            </a:ext>
          </a:extLst>
        </xdr:cNvPr>
        <xdr:cNvSpPr/>
      </xdr:nvSpPr>
      <xdr:spPr>
        <a:xfrm>
          <a:off x="4419663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374</xdr:row>
      <xdr:rowOff>260347</xdr:rowOff>
    </xdr:from>
    <xdr:ext cx="828675" cy="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63A24780-937F-4D45-8A15-DC2BB4FB3ABB}"/>
            </a:ext>
          </a:extLst>
        </xdr:cNvPr>
        <xdr:cNvSpPr/>
      </xdr:nvSpPr>
      <xdr:spPr>
        <a:xfrm>
          <a:off x="662940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374</xdr:row>
      <xdr:rowOff>260347</xdr:rowOff>
    </xdr:from>
    <xdr:ext cx="371475" cy="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0160945E-FA5E-4C31-A3AD-1490C6185C19}"/>
            </a:ext>
          </a:extLst>
        </xdr:cNvPr>
        <xdr:cNvSpPr/>
      </xdr:nvSpPr>
      <xdr:spPr>
        <a:xfrm>
          <a:off x="8854440" y="7620126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375</xdr:row>
      <xdr:rowOff>21968</xdr:rowOff>
    </xdr:from>
    <xdr:ext cx="114300" cy="114300"/>
    <xdr:pic>
      <xdr:nvPicPr>
        <xdr:cNvPr id="322" name="image1.png">
          <a:extLst>
            <a:ext uri="{FF2B5EF4-FFF2-40B4-BE49-F238E27FC236}">
              <a16:creationId xmlns:a16="http://schemas.microsoft.com/office/drawing/2014/main" id="{A1197745-97C7-47E5-AA26-FA0E26958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64124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378</xdr:row>
      <xdr:rowOff>251</xdr:rowOff>
    </xdr:from>
    <xdr:ext cx="2141855" cy="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863CDEA8-4AD1-4C5C-AA86-AB38367081B2}"/>
            </a:ext>
          </a:extLst>
        </xdr:cNvPr>
        <xdr:cNvSpPr/>
      </xdr:nvSpPr>
      <xdr:spPr>
        <a:xfrm>
          <a:off x="1650745" y="770841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378</xdr:row>
      <xdr:rowOff>-2</xdr:rowOff>
    </xdr:from>
    <xdr:ext cx="828675" cy="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A3AC8E47-0CD3-4674-8D62-C42B15020E42}"/>
            </a:ext>
          </a:extLst>
        </xdr:cNvPr>
        <xdr:cNvSpPr/>
      </xdr:nvSpPr>
      <xdr:spPr>
        <a:xfrm>
          <a:off x="550037" y="770839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378</xdr:row>
      <xdr:rowOff>-2</xdr:rowOff>
    </xdr:from>
    <xdr:ext cx="371475" cy="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DC7AF5AA-5030-47F0-88DB-AC5E55BB6BD6}"/>
            </a:ext>
          </a:extLst>
        </xdr:cNvPr>
        <xdr:cNvSpPr/>
      </xdr:nvSpPr>
      <xdr:spPr>
        <a:xfrm>
          <a:off x="8854440" y="770839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380</xdr:row>
      <xdr:rowOff>15618</xdr:rowOff>
    </xdr:from>
    <xdr:ext cx="114300" cy="114300"/>
    <xdr:pic>
      <xdr:nvPicPr>
        <xdr:cNvPr id="326" name="image1.png">
          <a:extLst>
            <a:ext uri="{FF2B5EF4-FFF2-40B4-BE49-F238E27FC236}">
              <a16:creationId xmlns:a16="http://schemas.microsoft.com/office/drawing/2014/main" id="{501A7339-AE19-4EBD-B8B7-D0B705D54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7450058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382</xdr:row>
      <xdr:rowOff>323847</xdr:rowOff>
    </xdr:from>
    <xdr:ext cx="828675" cy="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D63C32D7-8E5D-4B9E-A5C9-BB6A6A092508}"/>
            </a:ext>
          </a:extLst>
        </xdr:cNvPr>
        <xdr:cNvSpPr/>
      </xdr:nvSpPr>
      <xdr:spPr>
        <a:xfrm>
          <a:off x="489305" y="781240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382</xdr:row>
      <xdr:rowOff>323847</xdr:rowOff>
    </xdr:from>
    <xdr:ext cx="371475" cy="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CE0159BF-6C00-4720-834A-84ADF6FD285B}"/>
            </a:ext>
          </a:extLst>
        </xdr:cNvPr>
        <xdr:cNvSpPr/>
      </xdr:nvSpPr>
      <xdr:spPr>
        <a:xfrm>
          <a:off x="8837421" y="781240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384</xdr:row>
      <xdr:rowOff>21968</xdr:rowOff>
    </xdr:from>
    <xdr:ext cx="114300" cy="114300"/>
    <xdr:pic>
      <xdr:nvPicPr>
        <xdr:cNvPr id="329" name="image1.png">
          <a:extLst>
            <a:ext uri="{FF2B5EF4-FFF2-40B4-BE49-F238E27FC236}">
              <a16:creationId xmlns:a16="http://schemas.microsoft.com/office/drawing/2014/main" id="{DECFCB3C-35BD-4B51-B5F8-C615A6F1D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834032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387</xdr:row>
      <xdr:rowOff>-2</xdr:rowOff>
    </xdr:from>
    <xdr:ext cx="828675" cy="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F56B22EE-7C97-432A-8862-DD2F1C0A9851}"/>
            </a:ext>
          </a:extLst>
        </xdr:cNvPr>
        <xdr:cNvSpPr/>
      </xdr:nvSpPr>
      <xdr:spPr>
        <a:xfrm>
          <a:off x="550037" y="7901177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387</xdr:row>
      <xdr:rowOff>-2</xdr:rowOff>
    </xdr:from>
    <xdr:ext cx="371475" cy="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299B26F8-E001-4CD2-9DB3-C22FBB06AAE8}"/>
            </a:ext>
          </a:extLst>
        </xdr:cNvPr>
        <xdr:cNvSpPr/>
      </xdr:nvSpPr>
      <xdr:spPr>
        <a:xfrm>
          <a:off x="8854440" y="7901177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389</xdr:row>
      <xdr:rowOff>15618</xdr:rowOff>
    </xdr:from>
    <xdr:ext cx="114300" cy="114300"/>
    <xdr:pic>
      <xdr:nvPicPr>
        <xdr:cNvPr id="332" name="image1.png">
          <a:extLst>
            <a:ext uri="{FF2B5EF4-FFF2-40B4-BE49-F238E27FC236}">
              <a16:creationId xmlns:a16="http://schemas.microsoft.com/office/drawing/2014/main" id="{973C1457-A150-4157-BF9B-9FA74008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937791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392</xdr:row>
      <xdr:rowOff>6601</xdr:rowOff>
    </xdr:from>
    <xdr:ext cx="2141855" cy="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72396380-4349-4EE8-967C-C37A29109ED6}"/>
            </a:ext>
          </a:extLst>
        </xdr:cNvPr>
        <xdr:cNvSpPr/>
      </xdr:nvSpPr>
      <xdr:spPr>
        <a:xfrm>
          <a:off x="1650745" y="8004708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392</xdr:row>
      <xdr:rowOff>6347</xdr:rowOff>
    </xdr:from>
    <xdr:ext cx="828675" cy="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BF4C4979-DA28-4F69-8071-8B4E5331FAED}"/>
            </a:ext>
          </a:extLst>
        </xdr:cNvPr>
        <xdr:cNvSpPr/>
      </xdr:nvSpPr>
      <xdr:spPr>
        <a:xfrm>
          <a:off x="550037" y="8004682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392</xdr:row>
      <xdr:rowOff>6347</xdr:rowOff>
    </xdr:from>
    <xdr:ext cx="371475" cy="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364C4C15-811D-42E4-90E5-1D6BCDC0D6F3}"/>
            </a:ext>
          </a:extLst>
        </xdr:cNvPr>
        <xdr:cNvSpPr/>
      </xdr:nvSpPr>
      <xdr:spPr>
        <a:xfrm>
          <a:off x="8854440" y="8004682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393</xdr:row>
      <xdr:rowOff>21968</xdr:rowOff>
    </xdr:from>
    <xdr:ext cx="114300" cy="114300"/>
    <xdr:pic>
      <xdr:nvPicPr>
        <xdr:cNvPr id="336" name="image1.png">
          <a:extLst>
            <a:ext uri="{FF2B5EF4-FFF2-40B4-BE49-F238E27FC236}">
              <a16:creationId xmlns:a16="http://schemas.microsoft.com/office/drawing/2014/main" id="{471B99C3-9040-4B84-A1A6-19D941A64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2605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396</xdr:row>
      <xdr:rowOff>251</xdr:rowOff>
    </xdr:from>
    <xdr:ext cx="2141855" cy="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CB541952-1A95-4352-8CC9-0EE297A4BEB7}"/>
            </a:ext>
          </a:extLst>
        </xdr:cNvPr>
        <xdr:cNvSpPr/>
      </xdr:nvSpPr>
      <xdr:spPr>
        <a:xfrm>
          <a:off x="1650745" y="809322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396</xdr:row>
      <xdr:rowOff>-2</xdr:rowOff>
    </xdr:from>
    <xdr:ext cx="828675" cy="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88D2B2E7-121D-4C1C-8D0B-F0C54FEBA0EB}"/>
            </a:ext>
          </a:extLst>
        </xdr:cNvPr>
        <xdr:cNvSpPr/>
      </xdr:nvSpPr>
      <xdr:spPr>
        <a:xfrm>
          <a:off x="550037" y="809320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396</xdr:row>
      <xdr:rowOff>-2</xdr:rowOff>
    </xdr:from>
    <xdr:ext cx="371475" cy="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F8D4F9D8-6910-4C31-95CF-8599E805338C}"/>
            </a:ext>
          </a:extLst>
        </xdr:cNvPr>
        <xdr:cNvSpPr/>
      </xdr:nvSpPr>
      <xdr:spPr>
        <a:xfrm>
          <a:off x="8854440" y="809320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397</xdr:row>
      <xdr:rowOff>15618</xdr:rowOff>
    </xdr:from>
    <xdr:ext cx="114300" cy="114300"/>
    <xdr:pic>
      <xdr:nvPicPr>
        <xdr:cNvPr id="340" name="image1.png">
          <a:extLst>
            <a:ext uri="{FF2B5EF4-FFF2-40B4-BE49-F238E27FC236}">
              <a16:creationId xmlns:a16="http://schemas.microsoft.com/office/drawing/2014/main" id="{3F72AF2B-E3FE-4672-AE87-41ED912B0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114575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399</xdr:row>
      <xdr:rowOff>324101</xdr:rowOff>
    </xdr:from>
    <xdr:ext cx="2141855" cy="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BE94477D-CF7D-43BD-B322-BBACA311C3ED}"/>
            </a:ext>
          </a:extLst>
        </xdr:cNvPr>
        <xdr:cNvSpPr/>
      </xdr:nvSpPr>
      <xdr:spPr>
        <a:xfrm>
          <a:off x="1668834" y="8182000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399</xdr:row>
      <xdr:rowOff>323847</xdr:rowOff>
    </xdr:from>
    <xdr:ext cx="828675" cy="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CB79C6E6-5199-45D9-9595-95BEAC0B250B}"/>
            </a:ext>
          </a:extLst>
        </xdr:cNvPr>
        <xdr:cNvSpPr/>
      </xdr:nvSpPr>
      <xdr:spPr>
        <a:xfrm>
          <a:off x="489305" y="818197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399</xdr:row>
      <xdr:rowOff>323847</xdr:rowOff>
    </xdr:from>
    <xdr:ext cx="371475" cy="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3F624E13-BC56-4ECC-AB4B-F5A5D9237349}"/>
            </a:ext>
          </a:extLst>
        </xdr:cNvPr>
        <xdr:cNvSpPr/>
      </xdr:nvSpPr>
      <xdr:spPr>
        <a:xfrm>
          <a:off x="8837421" y="818197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402</xdr:row>
      <xdr:rowOff>21968</xdr:rowOff>
    </xdr:from>
    <xdr:ext cx="114300" cy="114300"/>
    <xdr:pic>
      <xdr:nvPicPr>
        <xdr:cNvPr id="344" name="image1.png">
          <a:extLst>
            <a:ext uri="{FF2B5EF4-FFF2-40B4-BE49-F238E27FC236}">
              <a16:creationId xmlns:a16="http://schemas.microsoft.com/office/drawing/2014/main" id="{12E414D1-D7B5-4F70-9F4A-C062EA981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218080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405</xdr:row>
      <xdr:rowOff>251</xdr:rowOff>
    </xdr:from>
    <xdr:ext cx="2141855" cy="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87B8D055-C7A2-41E4-8AEB-D8D2178AAC24}"/>
            </a:ext>
          </a:extLst>
        </xdr:cNvPr>
        <xdr:cNvSpPr/>
      </xdr:nvSpPr>
      <xdr:spPr>
        <a:xfrm>
          <a:off x="1650745" y="8285251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405</xdr:row>
      <xdr:rowOff>-2</xdr:rowOff>
    </xdr:from>
    <xdr:ext cx="828675" cy="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F1394C04-B454-4FBC-BDBA-DC64E66C8D8E}"/>
            </a:ext>
          </a:extLst>
        </xdr:cNvPr>
        <xdr:cNvSpPr/>
      </xdr:nvSpPr>
      <xdr:spPr>
        <a:xfrm>
          <a:off x="550037" y="8285225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405</xdr:row>
      <xdr:rowOff>-2</xdr:rowOff>
    </xdr:from>
    <xdr:ext cx="371475" cy="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C5EDBE29-F021-4EE4-89B4-D6452298EE42}"/>
            </a:ext>
          </a:extLst>
        </xdr:cNvPr>
        <xdr:cNvSpPr/>
      </xdr:nvSpPr>
      <xdr:spPr>
        <a:xfrm>
          <a:off x="8854440" y="8285225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406</xdr:row>
      <xdr:rowOff>15618</xdr:rowOff>
    </xdr:from>
    <xdr:ext cx="114300" cy="114300"/>
    <xdr:pic>
      <xdr:nvPicPr>
        <xdr:cNvPr id="348" name="image1.png">
          <a:extLst>
            <a:ext uri="{FF2B5EF4-FFF2-40B4-BE49-F238E27FC236}">
              <a16:creationId xmlns:a16="http://schemas.microsoft.com/office/drawing/2014/main" id="{6D3C714A-C677-4201-82F3-E461DEEFD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306599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409</xdr:row>
      <xdr:rowOff>6347</xdr:rowOff>
    </xdr:from>
    <xdr:ext cx="828675" cy="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940F01E7-FED7-4BA9-8C3F-7BDF408EB129}"/>
            </a:ext>
          </a:extLst>
        </xdr:cNvPr>
        <xdr:cNvSpPr/>
      </xdr:nvSpPr>
      <xdr:spPr>
        <a:xfrm>
          <a:off x="550037" y="837349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409</xdr:row>
      <xdr:rowOff>6347</xdr:rowOff>
    </xdr:from>
    <xdr:ext cx="371475" cy="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B9390AE4-793F-4953-AC48-02EEE4916473}"/>
            </a:ext>
          </a:extLst>
        </xdr:cNvPr>
        <xdr:cNvSpPr/>
      </xdr:nvSpPr>
      <xdr:spPr>
        <a:xfrm>
          <a:off x="8854440" y="8373490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412</xdr:row>
      <xdr:rowOff>21968</xdr:rowOff>
    </xdr:from>
    <xdr:ext cx="114300" cy="114300"/>
    <xdr:pic>
      <xdr:nvPicPr>
        <xdr:cNvPr id="351" name="image1.png">
          <a:extLst>
            <a:ext uri="{FF2B5EF4-FFF2-40B4-BE49-F238E27FC236}">
              <a16:creationId xmlns:a16="http://schemas.microsoft.com/office/drawing/2014/main" id="{D7B90AFA-F9B6-4E1C-987A-16F90E48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4253448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9905</xdr:colOff>
      <xdr:row>417</xdr:row>
      <xdr:rowOff>6350</xdr:rowOff>
    </xdr:from>
    <xdr:ext cx="828675" cy="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BC506EF0-54B3-43F9-A7C2-69B4D5CE8724}"/>
            </a:ext>
          </a:extLst>
        </xdr:cNvPr>
        <xdr:cNvSpPr/>
      </xdr:nvSpPr>
      <xdr:spPr>
        <a:xfrm>
          <a:off x="5526785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4952</xdr:colOff>
      <xdr:row>417</xdr:row>
      <xdr:rowOff>6604</xdr:rowOff>
    </xdr:from>
    <xdr:ext cx="2141855" cy="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F3AC8641-E513-4CCC-80D6-4E18DEA7F56D}"/>
            </a:ext>
          </a:extLst>
        </xdr:cNvPr>
        <xdr:cNvSpPr/>
      </xdr:nvSpPr>
      <xdr:spPr>
        <a:xfrm>
          <a:off x="1650872" y="8487816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14224</xdr:colOff>
      <xdr:row>417</xdr:row>
      <xdr:rowOff>6350</xdr:rowOff>
    </xdr:from>
    <xdr:ext cx="828675" cy="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DBEACC2A-54A1-4B76-8A7F-3B7D05A7E3A8}"/>
            </a:ext>
          </a:extLst>
        </xdr:cNvPr>
        <xdr:cNvSpPr/>
      </xdr:nvSpPr>
      <xdr:spPr>
        <a:xfrm>
          <a:off x="56286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2794</xdr:colOff>
      <xdr:row>417</xdr:row>
      <xdr:rowOff>6350</xdr:rowOff>
    </xdr:from>
    <xdr:ext cx="828675" cy="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D37E4BF0-9D2D-4E96-8980-C3B1448C650A}"/>
            </a:ext>
          </a:extLst>
        </xdr:cNvPr>
        <xdr:cNvSpPr/>
      </xdr:nvSpPr>
      <xdr:spPr>
        <a:xfrm>
          <a:off x="774471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5460</xdr:colOff>
      <xdr:row>417</xdr:row>
      <xdr:rowOff>6350</xdr:rowOff>
    </xdr:from>
    <xdr:ext cx="828675" cy="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6559E6DE-C72C-465D-8AF7-1FBA1D2CC024}"/>
            </a:ext>
          </a:extLst>
        </xdr:cNvPr>
        <xdr:cNvSpPr/>
      </xdr:nvSpPr>
      <xdr:spPr>
        <a:xfrm>
          <a:off x="4425060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11557</xdr:colOff>
      <xdr:row>417</xdr:row>
      <xdr:rowOff>6350</xdr:rowOff>
    </xdr:from>
    <xdr:ext cx="828675" cy="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DF8EFBA7-F032-4EF0-B3B2-9A9B13493ABA}"/>
            </a:ext>
          </a:extLst>
        </xdr:cNvPr>
        <xdr:cNvSpPr/>
      </xdr:nvSpPr>
      <xdr:spPr>
        <a:xfrm>
          <a:off x="6640957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1651</xdr:colOff>
      <xdr:row>417</xdr:row>
      <xdr:rowOff>6350</xdr:rowOff>
    </xdr:from>
    <xdr:ext cx="371475" cy="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51AC351A-7BD5-42E2-ABEE-98FCB4E65E8D}"/>
            </a:ext>
          </a:extLst>
        </xdr:cNvPr>
        <xdr:cNvSpPr/>
      </xdr:nvSpPr>
      <xdr:spPr>
        <a:xfrm>
          <a:off x="8856091" y="848779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420</xdr:row>
      <xdr:rowOff>257429</xdr:rowOff>
    </xdr:from>
    <xdr:ext cx="2141855" cy="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A39FEBB8-31A7-4017-A4D1-F13A90DC0600}"/>
            </a:ext>
          </a:extLst>
        </xdr:cNvPr>
        <xdr:cNvSpPr/>
      </xdr:nvSpPr>
      <xdr:spPr>
        <a:xfrm>
          <a:off x="1650745" y="8544140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420</xdr:row>
      <xdr:rowOff>257175</xdr:rowOff>
    </xdr:from>
    <xdr:ext cx="828675" cy="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17F12A0E-8C70-4836-B0A6-22DD2E7548F3}"/>
            </a:ext>
          </a:extLst>
        </xdr:cNvPr>
        <xdr:cNvSpPr/>
      </xdr:nvSpPr>
      <xdr:spPr>
        <a:xfrm>
          <a:off x="550037" y="8544115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420</xdr:row>
      <xdr:rowOff>257175</xdr:rowOff>
    </xdr:from>
    <xdr:ext cx="371475" cy="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052E63ED-2707-440B-9B97-B650E0345B5A}"/>
            </a:ext>
          </a:extLst>
        </xdr:cNvPr>
        <xdr:cNvSpPr/>
      </xdr:nvSpPr>
      <xdr:spPr>
        <a:xfrm>
          <a:off x="8854440" y="8544115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422</xdr:row>
      <xdr:rowOff>25145</xdr:rowOff>
    </xdr:from>
    <xdr:ext cx="114300" cy="114300"/>
    <xdr:pic>
      <xdr:nvPicPr>
        <xdr:cNvPr id="362" name="image1.png">
          <a:extLst>
            <a:ext uri="{FF2B5EF4-FFF2-40B4-BE49-F238E27FC236}">
              <a16:creationId xmlns:a16="http://schemas.microsoft.com/office/drawing/2014/main" id="{93D06608-911B-4033-91C1-94B397CF6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568156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425</xdr:row>
      <xdr:rowOff>3429</xdr:rowOff>
    </xdr:from>
    <xdr:ext cx="2141855" cy="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E7E392E8-C822-42CF-B8B5-1AE0CCE98490}"/>
            </a:ext>
          </a:extLst>
        </xdr:cNvPr>
        <xdr:cNvSpPr/>
      </xdr:nvSpPr>
      <xdr:spPr>
        <a:xfrm>
          <a:off x="1650745" y="863532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425</xdr:row>
      <xdr:rowOff>3175</xdr:rowOff>
    </xdr:from>
    <xdr:ext cx="828675" cy="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74EE25CB-D7BE-41E4-B394-9FCA971B3EA4}"/>
            </a:ext>
          </a:extLst>
        </xdr:cNvPr>
        <xdr:cNvSpPr/>
      </xdr:nvSpPr>
      <xdr:spPr>
        <a:xfrm>
          <a:off x="550037" y="863530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425</xdr:row>
      <xdr:rowOff>3175</xdr:rowOff>
    </xdr:from>
    <xdr:ext cx="371475" cy="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4EE70E42-FE5A-4E5F-B390-5420771E0A55}"/>
            </a:ext>
          </a:extLst>
        </xdr:cNvPr>
        <xdr:cNvSpPr/>
      </xdr:nvSpPr>
      <xdr:spPr>
        <a:xfrm>
          <a:off x="8854440" y="863530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428</xdr:row>
      <xdr:rowOff>327279</xdr:rowOff>
    </xdr:from>
    <xdr:ext cx="2141855" cy="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2E4FBA42-F716-4C5A-8CA4-EC4E7B8BDF72}"/>
            </a:ext>
          </a:extLst>
        </xdr:cNvPr>
        <xdr:cNvSpPr/>
      </xdr:nvSpPr>
      <xdr:spPr>
        <a:xfrm>
          <a:off x="1650745" y="872409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428</xdr:row>
      <xdr:rowOff>327025</xdr:rowOff>
    </xdr:from>
    <xdr:ext cx="828675" cy="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5389D194-6939-4CD4-BFC5-FEE349C2E318}"/>
            </a:ext>
          </a:extLst>
        </xdr:cNvPr>
        <xdr:cNvSpPr/>
      </xdr:nvSpPr>
      <xdr:spPr>
        <a:xfrm>
          <a:off x="550037" y="872407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428</xdr:row>
      <xdr:rowOff>327025</xdr:rowOff>
    </xdr:from>
    <xdr:ext cx="371475" cy="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6D9DBDA4-380D-4E31-A0C2-A4E8A3C0C937}"/>
            </a:ext>
          </a:extLst>
        </xdr:cNvPr>
        <xdr:cNvSpPr/>
      </xdr:nvSpPr>
      <xdr:spPr>
        <a:xfrm>
          <a:off x="8854440" y="872407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430</xdr:row>
      <xdr:rowOff>25145</xdr:rowOff>
    </xdr:from>
    <xdr:ext cx="114300" cy="114300"/>
    <xdr:pic>
      <xdr:nvPicPr>
        <xdr:cNvPr id="369" name="image1.png">
          <a:extLst>
            <a:ext uri="{FF2B5EF4-FFF2-40B4-BE49-F238E27FC236}">
              <a16:creationId xmlns:a16="http://schemas.microsoft.com/office/drawing/2014/main" id="{8FC28B13-58DF-421E-A3FC-289FE0745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745702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433</xdr:row>
      <xdr:rowOff>3429</xdr:rowOff>
    </xdr:from>
    <xdr:ext cx="2141855" cy="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4F684DA0-1CBD-4B18-A9BC-E4924786BB35}"/>
            </a:ext>
          </a:extLst>
        </xdr:cNvPr>
        <xdr:cNvSpPr/>
      </xdr:nvSpPr>
      <xdr:spPr>
        <a:xfrm>
          <a:off x="1650745" y="88128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433</xdr:row>
      <xdr:rowOff>3175</xdr:rowOff>
    </xdr:from>
    <xdr:ext cx="828675" cy="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A2454C52-D720-4F3A-818A-1D5E5B280EA1}"/>
            </a:ext>
          </a:extLst>
        </xdr:cNvPr>
        <xdr:cNvSpPr/>
      </xdr:nvSpPr>
      <xdr:spPr>
        <a:xfrm>
          <a:off x="550037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433</xdr:row>
      <xdr:rowOff>3175</xdr:rowOff>
    </xdr:from>
    <xdr:ext cx="828675" cy="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DF3558EF-7D47-4F20-9329-A34728E8A004}"/>
            </a:ext>
          </a:extLst>
        </xdr:cNvPr>
        <xdr:cNvSpPr/>
      </xdr:nvSpPr>
      <xdr:spPr>
        <a:xfrm>
          <a:off x="4403808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433</xdr:row>
      <xdr:rowOff>3175</xdr:rowOff>
    </xdr:from>
    <xdr:ext cx="371475" cy="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D7EDEBD2-24B2-4F40-BD26-8EF4ECFFFCB9}"/>
            </a:ext>
          </a:extLst>
        </xdr:cNvPr>
        <xdr:cNvSpPr/>
      </xdr:nvSpPr>
      <xdr:spPr>
        <a:xfrm>
          <a:off x="8854440" y="88128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434</xdr:row>
      <xdr:rowOff>0</xdr:rowOff>
    </xdr:from>
    <xdr:ext cx="828675" cy="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4469F156-A442-405A-AAFD-C4906D7E3F55}"/>
            </a:ext>
          </a:extLst>
        </xdr:cNvPr>
        <xdr:cNvSpPr/>
      </xdr:nvSpPr>
      <xdr:spPr>
        <a:xfrm>
          <a:off x="4424807" y="883234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434</xdr:row>
      <xdr:rowOff>18795</xdr:rowOff>
    </xdr:from>
    <xdr:ext cx="114300" cy="114300"/>
    <xdr:pic>
      <xdr:nvPicPr>
        <xdr:cNvPr id="375" name="image1.png">
          <a:extLst>
            <a:ext uri="{FF2B5EF4-FFF2-40B4-BE49-F238E27FC236}">
              <a16:creationId xmlns:a16="http://schemas.microsoft.com/office/drawing/2014/main" id="{DCAF6087-215C-4BC5-8578-96BDC075C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34221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436</xdr:row>
      <xdr:rowOff>327279</xdr:rowOff>
    </xdr:from>
    <xdr:ext cx="2141855" cy="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328AD644-77B2-4A44-9C30-E2CAC82BC528}"/>
            </a:ext>
          </a:extLst>
        </xdr:cNvPr>
        <xdr:cNvSpPr/>
      </xdr:nvSpPr>
      <xdr:spPr>
        <a:xfrm>
          <a:off x="1650745" y="890164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436</xdr:row>
      <xdr:rowOff>327025</xdr:rowOff>
    </xdr:from>
    <xdr:ext cx="828675" cy="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2EA178F3-6FA7-4C0F-AF11-28FA9A87F271}"/>
            </a:ext>
          </a:extLst>
        </xdr:cNvPr>
        <xdr:cNvSpPr/>
      </xdr:nvSpPr>
      <xdr:spPr>
        <a:xfrm>
          <a:off x="550037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436</xdr:row>
      <xdr:rowOff>327025</xdr:rowOff>
    </xdr:from>
    <xdr:ext cx="828675" cy="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AF5BD23B-97A6-473D-A967-50EF1E0CFB48}"/>
            </a:ext>
          </a:extLst>
        </xdr:cNvPr>
        <xdr:cNvSpPr/>
      </xdr:nvSpPr>
      <xdr:spPr>
        <a:xfrm>
          <a:off x="4403808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436</xdr:row>
      <xdr:rowOff>327025</xdr:rowOff>
    </xdr:from>
    <xdr:ext cx="371475" cy="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08CD74E8-5EF2-4517-B43E-6BC8936AA215}"/>
            </a:ext>
          </a:extLst>
        </xdr:cNvPr>
        <xdr:cNvSpPr/>
      </xdr:nvSpPr>
      <xdr:spPr>
        <a:xfrm>
          <a:off x="8854440" y="890162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438</xdr:row>
      <xdr:rowOff>6350</xdr:rowOff>
    </xdr:from>
    <xdr:ext cx="828675" cy="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7843DAFB-E163-44E1-977F-18D0D64A1609}"/>
            </a:ext>
          </a:extLst>
        </xdr:cNvPr>
        <xdr:cNvSpPr/>
      </xdr:nvSpPr>
      <xdr:spPr>
        <a:xfrm>
          <a:off x="4424807" y="892136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438</xdr:row>
      <xdr:rowOff>25145</xdr:rowOff>
    </xdr:from>
    <xdr:ext cx="114300" cy="114300"/>
    <xdr:pic>
      <xdr:nvPicPr>
        <xdr:cNvPr id="381" name="image1.png">
          <a:extLst>
            <a:ext uri="{FF2B5EF4-FFF2-40B4-BE49-F238E27FC236}">
              <a16:creationId xmlns:a16="http://schemas.microsoft.com/office/drawing/2014/main" id="{A2944FE4-849A-4319-B377-43F9FFA89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923248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441</xdr:row>
      <xdr:rowOff>3429</xdr:rowOff>
    </xdr:from>
    <xdr:ext cx="2141855" cy="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DB9555FB-B3FD-4FE2-8D11-C4605441F29D}"/>
            </a:ext>
          </a:extLst>
        </xdr:cNvPr>
        <xdr:cNvSpPr/>
      </xdr:nvSpPr>
      <xdr:spPr>
        <a:xfrm>
          <a:off x="1650745" y="899041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441</xdr:row>
      <xdr:rowOff>3175</xdr:rowOff>
    </xdr:from>
    <xdr:ext cx="828675" cy="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1B3F4055-8C06-4F45-8EDF-8B11949AC8D6}"/>
            </a:ext>
          </a:extLst>
        </xdr:cNvPr>
        <xdr:cNvSpPr/>
      </xdr:nvSpPr>
      <xdr:spPr>
        <a:xfrm>
          <a:off x="550037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441</xdr:row>
      <xdr:rowOff>3175</xdr:rowOff>
    </xdr:from>
    <xdr:ext cx="828675" cy="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8F3C1442-8767-40B0-82C8-67A7370E8AA4}"/>
            </a:ext>
          </a:extLst>
        </xdr:cNvPr>
        <xdr:cNvSpPr/>
      </xdr:nvSpPr>
      <xdr:spPr>
        <a:xfrm>
          <a:off x="4403808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441</xdr:row>
      <xdr:rowOff>3175</xdr:rowOff>
    </xdr:from>
    <xdr:ext cx="371475" cy="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E8097B00-36F1-451D-9036-804BCDFE9D71}"/>
            </a:ext>
          </a:extLst>
        </xdr:cNvPr>
        <xdr:cNvSpPr/>
      </xdr:nvSpPr>
      <xdr:spPr>
        <a:xfrm>
          <a:off x="8854440" y="899039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442</xdr:row>
      <xdr:rowOff>0</xdr:rowOff>
    </xdr:from>
    <xdr:ext cx="828675" cy="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5A124DD0-558B-4895-B92E-0A5AC5C42979}"/>
            </a:ext>
          </a:extLst>
        </xdr:cNvPr>
        <xdr:cNvSpPr/>
      </xdr:nvSpPr>
      <xdr:spPr>
        <a:xfrm>
          <a:off x="4424807" y="900988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442</xdr:row>
      <xdr:rowOff>18795</xdr:rowOff>
    </xdr:from>
    <xdr:ext cx="114300" cy="114300"/>
    <xdr:pic>
      <xdr:nvPicPr>
        <xdr:cNvPr id="387" name="image1.png">
          <a:extLst>
            <a:ext uri="{FF2B5EF4-FFF2-40B4-BE49-F238E27FC236}">
              <a16:creationId xmlns:a16="http://schemas.microsoft.com/office/drawing/2014/main" id="{BC249210-E361-4518-9EE9-6E8B227F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011767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444</xdr:row>
      <xdr:rowOff>327279</xdr:rowOff>
    </xdr:from>
    <xdr:ext cx="2141855" cy="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8746CC78-821F-4CFE-8351-5C971BDD9B0E}"/>
            </a:ext>
          </a:extLst>
        </xdr:cNvPr>
        <xdr:cNvSpPr/>
      </xdr:nvSpPr>
      <xdr:spPr>
        <a:xfrm>
          <a:off x="1650745" y="907919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444</xdr:row>
      <xdr:rowOff>327025</xdr:rowOff>
    </xdr:from>
    <xdr:ext cx="828675" cy="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97A3ED08-935A-49BC-AEAE-54166C980F1E}"/>
            </a:ext>
          </a:extLst>
        </xdr:cNvPr>
        <xdr:cNvSpPr/>
      </xdr:nvSpPr>
      <xdr:spPr>
        <a:xfrm>
          <a:off x="550037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444</xdr:row>
      <xdr:rowOff>327025</xdr:rowOff>
    </xdr:from>
    <xdr:ext cx="828675" cy="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1311EBD2-E823-4E86-BAAE-630C2C14BCF2}"/>
            </a:ext>
          </a:extLst>
        </xdr:cNvPr>
        <xdr:cNvSpPr/>
      </xdr:nvSpPr>
      <xdr:spPr>
        <a:xfrm>
          <a:off x="4403808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444</xdr:row>
      <xdr:rowOff>327025</xdr:rowOff>
    </xdr:from>
    <xdr:ext cx="371475" cy="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71E082EA-0129-4ADA-A575-591543C0497E}"/>
            </a:ext>
          </a:extLst>
        </xdr:cNvPr>
        <xdr:cNvSpPr/>
      </xdr:nvSpPr>
      <xdr:spPr>
        <a:xfrm>
          <a:off x="8854440" y="907916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446</xdr:row>
      <xdr:rowOff>6350</xdr:rowOff>
    </xdr:from>
    <xdr:ext cx="828675" cy="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EE2F28FB-B84A-48BC-94B4-680354D0B07A}"/>
            </a:ext>
          </a:extLst>
        </xdr:cNvPr>
        <xdr:cNvSpPr/>
      </xdr:nvSpPr>
      <xdr:spPr>
        <a:xfrm>
          <a:off x="4424807" y="909891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446</xdr:row>
      <xdr:rowOff>25145</xdr:rowOff>
    </xdr:from>
    <xdr:ext cx="114300" cy="114300"/>
    <xdr:pic>
      <xdr:nvPicPr>
        <xdr:cNvPr id="393" name="image1.png">
          <a:extLst>
            <a:ext uri="{FF2B5EF4-FFF2-40B4-BE49-F238E27FC236}">
              <a16:creationId xmlns:a16="http://schemas.microsoft.com/office/drawing/2014/main" id="{C72088A5-8BA7-4EF5-AE17-C4C91DFF0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00794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449</xdr:row>
      <xdr:rowOff>3429</xdr:rowOff>
    </xdr:from>
    <xdr:ext cx="2141855" cy="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2DDE3FFE-3554-424A-8EF1-EA484FC1EFD1}"/>
            </a:ext>
          </a:extLst>
        </xdr:cNvPr>
        <xdr:cNvSpPr/>
      </xdr:nvSpPr>
      <xdr:spPr>
        <a:xfrm>
          <a:off x="1650745" y="9167964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449</xdr:row>
      <xdr:rowOff>3175</xdr:rowOff>
    </xdr:from>
    <xdr:ext cx="828675" cy="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B1BD25F9-82DA-475B-9199-827A48D9F2BB}"/>
            </a:ext>
          </a:extLst>
        </xdr:cNvPr>
        <xdr:cNvSpPr/>
      </xdr:nvSpPr>
      <xdr:spPr>
        <a:xfrm>
          <a:off x="550037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449</xdr:row>
      <xdr:rowOff>3175</xdr:rowOff>
    </xdr:from>
    <xdr:ext cx="828675" cy="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B4D85BC0-366A-48DA-90B3-0894EB345533}"/>
            </a:ext>
          </a:extLst>
        </xdr:cNvPr>
        <xdr:cNvSpPr/>
      </xdr:nvSpPr>
      <xdr:spPr>
        <a:xfrm>
          <a:off x="4403808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449</xdr:row>
      <xdr:rowOff>3175</xdr:rowOff>
    </xdr:from>
    <xdr:ext cx="371475" cy="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F979B855-C241-46B8-A673-C034405703A3}"/>
            </a:ext>
          </a:extLst>
        </xdr:cNvPr>
        <xdr:cNvSpPr/>
      </xdr:nvSpPr>
      <xdr:spPr>
        <a:xfrm>
          <a:off x="8854440" y="9167939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450</xdr:row>
      <xdr:rowOff>0</xdr:rowOff>
    </xdr:from>
    <xdr:ext cx="828675" cy="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60F9D510-6003-4CD2-ADA8-D70484195989}"/>
            </a:ext>
          </a:extLst>
        </xdr:cNvPr>
        <xdr:cNvSpPr/>
      </xdr:nvSpPr>
      <xdr:spPr>
        <a:xfrm>
          <a:off x="4424807" y="918743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450</xdr:row>
      <xdr:rowOff>18795</xdr:rowOff>
    </xdr:from>
    <xdr:ext cx="114300" cy="114299"/>
    <xdr:pic>
      <xdr:nvPicPr>
        <xdr:cNvPr id="399" name="image1.png">
          <a:extLst>
            <a:ext uri="{FF2B5EF4-FFF2-40B4-BE49-F238E27FC236}">
              <a16:creationId xmlns:a16="http://schemas.microsoft.com/office/drawing/2014/main" id="{8B7A193B-6916-4AE9-8C05-DECA07188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893135"/>
          <a:ext cx="114300" cy="114299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452</xdr:row>
      <xdr:rowOff>327279</xdr:rowOff>
    </xdr:from>
    <xdr:ext cx="2141855" cy="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4CDEB811-CB70-4AEC-B70E-0F670F6C254B}"/>
            </a:ext>
          </a:extLst>
        </xdr:cNvPr>
        <xdr:cNvSpPr/>
      </xdr:nvSpPr>
      <xdr:spPr>
        <a:xfrm>
          <a:off x="1650745" y="9256737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452</xdr:row>
      <xdr:rowOff>327025</xdr:rowOff>
    </xdr:from>
    <xdr:ext cx="828675" cy="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5E0E68AC-E8C6-44AE-B13E-1E815DF79461}"/>
            </a:ext>
          </a:extLst>
        </xdr:cNvPr>
        <xdr:cNvSpPr/>
      </xdr:nvSpPr>
      <xdr:spPr>
        <a:xfrm>
          <a:off x="550037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452</xdr:row>
      <xdr:rowOff>327025</xdr:rowOff>
    </xdr:from>
    <xdr:ext cx="828675" cy="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5503F368-4CDF-4147-B213-5375B5350C8B}"/>
            </a:ext>
          </a:extLst>
        </xdr:cNvPr>
        <xdr:cNvSpPr/>
      </xdr:nvSpPr>
      <xdr:spPr>
        <a:xfrm>
          <a:off x="4403808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452</xdr:row>
      <xdr:rowOff>327025</xdr:rowOff>
    </xdr:from>
    <xdr:ext cx="371475" cy="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DB8D533B-A9D8-41FB-901D-81F69FBF17F6}"/>
            </a:ext>
          </a:extLst>
        </xdr:cNvPr>
        <xdr:cNvSpPr/>
      </xdr:nvSpPr>
      <xdr:spPr>
        <a:xfrm>
          <a:off x="8854440" y="9256712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454</xdr:row>
      <xdr:rowOff>6350</xdr:rowOff>
    </xdr:from>
    <xdr:ext cx="828675" cy="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409BB911-CEAB-4081-8C03-BA4118F8E638}"/>
            </a:ext>
          </a:extLst>
        </xdr:cNvPr>
        <xdr:cNvSpPr/>
      </xdr:nvSpPr>
      <xdr:spPr>
        <a:xfrm>
          <a:off x="4424807" y="927646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454</xdr:row>
      <xdr:rowOff>25145</xdr:rowOff>
    </xdr:from>
    <xdr:ext cx="114300" cy="114300"/>
    <xdr:pic>
      <xdr:nvPicPr>
        <xdr:cNvPr id="405" name="image1.png">
          <a:extLst>
            <a:ext uri="{FF2B5EF4-FFF2-40B4-BE49-F238E27FC236}">
              <a16:creationId xmlns:a16="http://schemas.microsoft.com/office/drawing/2014/main" id="{751BA80E-A98E-48D1-8FC2-696877A1E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2783405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457</xdr:row>
      <xdr:rowOff>260352</xdr:rowOff>
    </xdr:from>
    <xdr:ext cx="828675" cy="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D0F78864-B0B7-47F2-8740-305B8912E008}"/>
            </a:ext>
          </a:extLst>
        </xdr:cNvPr>
        <xdr:cNvSpPr/>
      </xdr:nvSpPr>
      <xdr:spPr>
        <a:xfrm>
          <a:off x="551688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457</xdr:row>
      <xdr:rowOff>260606</xdr:rowOff>
    </xdr:from>
    <xdr:ext cx="2141855" cy="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25733583-9282-49C5-B67F-2A9384921236}"/>
            </a:ext>
          </a:extLst>
        </xdr:cNvPr>
        <xdr:cNvSpPr/>
      </xdr:nvSpPr>
      <xdr:spPr>
        <a:xfrm>
          <a:off x="1645920" y="933693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457</xdr:row>
      <xdr:rowOff>260352</xdr:rowOff>
    </xdr:from>
    <xdr:ext cx="828675" cy="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4D8B4B8D-FFA3-4E1D-AF18-E8EC36A95253}"/>
            </a:ext>
          </a:extLst>
        </xdr:cNvPr>
        <xdr:cNvSpPr/>
      </xdr:nvSpPr>
      <xdr:spPr>
        <a:xfrm>
          <a:off x="550037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457</xdr:row>
      <xdr:rowOff>260352</xdr:rowOff>
    </xdr:from>
    <xdr:ext cx="828675" cy="0"/>
    <xdr:sp macro="" textlink="">
      <xdr:nvSpPr>
        <xdr:cNvPr id="409" name="Shape 409">
          <a:extLst>
            <a:ext uri="{FF2B5EF4-FFF2-40B4-BE49-F238E27FC236}">
              <a16:creationId xmlns:a16="http://schemas.microsoft.com/office/drawing/2014/main" id="{3021F599-22A5-4B89-B587-98C0D94A8AD5}"/>
            </a:ext>
          </a:extLst>
        </xdr:cNvPr>
        <xdr:cNvSpPr/>
      </xdr:nvSpPr>
      <xdr:spPr>
        <a:xfrm>
          <a:off x="774192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457</xdr:row>
      <xdr:rowOff>260352</xdr:rowOff>
    </xdr:from>
    <xdr:ext cx="828675" cy="0"/>
    <xdr:sp macro="" textlink="">
      <xdr:nvSpPr>
        <xdr:cNvPr id="410" name="Shape 410">
          <a:extLst>
            <a:ext uri="{FF2B5EF4-FFF2-40B4-BE49-F238E27FC236}">
              <a16:creationId xmlns:a16="http://schemas.microsoft.com/office/drawing/2014/main" id="{58005FDF-7B12-47F7-8EDA-350C6584D439}"/>
            </a:ext>
          </a:extLst>
        </xdr:cNvPr>
        <xdr:cNvSpPr/>
      </xdr:nvSpPr>
      <xdr:spPr>
        <a:xfrm>
          <a:off x="4419663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457</xdr:row>
      <xdr:rowOff>260352</xdr:rowOff>
    </xdr:from>
    <xdr:ext cx="828675" cy="0"/>
    <xdr:sp macro="" textlink="">
      <xdr:nvSpPr>
        <xdr:cNvPr id="411" name="Shape 411">
          <a:extLst>
            <a:ext uri="{FF2B5EF4-FFF2-40B4-BE49-F238E27FC236}">
              <a16:creationId xmlns:a16="http://schemas.microsoft.com/office/drawing/2014/main" id="{4B460DBF-D770-4E06-B914-E7C6EF2C24C8}"/>
            </a:ext>
          </a:extLst>
        </xdr:cNvPr>
        <xdr:cNvSpPr/>
      </xdr:nvSpPr>
      <xdr:spPr>
        <a:xfrm>
          <a:off x="662940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457</xdr:row>
      <xdr:rowOff>260352</xdr:rowOff>
    </xdr:from>
    <xdr:ext cx="371475" cy="0"/>
    <xdr:sp macro="" textlink="">
      <xdr:nvSpPr>
        <xdr:cNvPr id="412" name="Shape 412">
          <a:extLst>
            <a:ext uri="{FF2B5EF4-FFF2-40B4-BE49-F238E27FC236}">
              <a16:creationId xmlns:a16="http://schemas.microsoft.com/office/drawing/2014/main" id="{491A2A80-1091-442B-9FE7-20D5C1784765}"/>
            </a:ext>
          </a:extLst>
        </xdr:cNvPr>
        <xdr:cNvSpPr/>
      </xdr:nvSpPr>
      <xdr:spPr>
        <a:xfrm>
          <a:off x="8854440" y="933691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458</xdr:row>
      <xdr:rowOff>21973</xdr:rowOff>
    </xdr:from>
    <xdr:ext cx="114300" cy="114300"/>
    <xdr:pic>
      <xdr:nvPicPr>
        <xdr:cNvPr id="413" name="image1.png">
          <a:extLst>
            <a:ext uri="{FF2B5EF4-FFF2-40B4-BE49-F238E27FC236}">
              <a16:creationId xmlns:a16="http://schemas.microsoft.com/office/drawing/2014/main" id="{31DFF61F-06F4-4D05-8121-6F5BE6D33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358033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461</xdr:row>
      <xdr:rowOff>256</xdr:rowOff>
    </xdr:from>
    <xdr:ext cx="2141855" cy="0"/>
    <xdr:sp macro="" textlink="">
      <xdr:nvSpPr>
        <xdr:cNvPr id="414" name="Shape 414">
          <a:extLst>
            <a:ext uri="{FF2B5EF4-FFF2-40B4-BE49-F238E27FC236}">
              <a16:creationId xmlns:a16="http://schemas.microsoft.com/office/drawing/2014/main" id="{56005611-59A6-440E-9A80-B9B880A5B158}"/>
            </a:ext>
          </a:extLst>
        </xdr:cNvPr>
        <xdr:cNvSpPr/>
      </xdr:nvSpPr>
      <xdr:spPr>
        <a:xfrm>
          <a:off x="1613874" y="94252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461</xdr:row>
      <xdr:rowOff>2</xdr:rowOff>
    </xdr:from>
    <xdr:ext cx="828675" cy="0"/>
    <xdr:sp macro="" textlink="">
      <xdr:nvSpPr>
        <xdr:cNvPr id="415" name="Shape 415">
          <a:extLst>
            <a:ext uri="{FF2B5EF4-FFF2-40B4-BE49-F238E27FC236}">
              <a16:creationId xmlns:a16="http://schemas.microsoft.com/office/drawing/2014/main" id="{1B5AC2B3-3BE8-43F6-9E48-DC0A674E8DAA}"/>
            </a:ext>
          </a:extLst>
        </xdr:cNvPr>
        <xdr:cNvSpPr/>
      </xdr:nvSpPr>
      <xdr:spPr>
        <a:xfrm>
          <a:off x="489305" y="94251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461</xdr:row>
      <xdr:rowOff>2</xdr:rowOff>
    </xdr:from>
    <xdr:ext cx="371475" cy="0"/>
    <xdr:sp macro="" textlink="">
      <xdr:nvSpPr>
        <xdr:cNvPr id="416" name="Shape 416">
          <a:extLst>
            <a:ext uri="{FF2B5EF4-FFF2-40B4-BE49-F238E27FC236}">
              <a16:creationId xmlns:a16="http://schemas.microsoft.com/office/drawing/2014/main" id="{2F4BE0BD-A6A1-47F6-981F-56E86F0030BF}"/>
            </a:ext>
          </a:extLst>
        </xdr:cNvPr>
        <xdr:cNvSpPr/>
      </xdr:nvSpPr>
      <xdr:spPr>
        <a:xfrm>
          <a:off x="8854440" y="94251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462</xdr:row>
      <xdr:rowOff>15623</xdr:rowOff>
    </xdr:from>
    <xdr:ext cx="114300" cy="114300"/>
    <xdr:pic>
      <xdr:nvPicPr>
        <xdr:cNvPr id="417" name="image1.png">
          <a:extLst>
            <a:ext uri="{FF2B5EF4-FFF2-40B4-BE49-F238E27FC236}">
              <a16:creationId xmlns:a16="http://schemas.microsoft.com/office/drawing/2014/main" id="{40843C7C-4EF6-4167-9DC7-9A669AC2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4465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465</xdr:row>
      <xdr:rowOff>6606</xdr:rowOff>
    </xdr:from>
    <xdr:ext cx="2141855" cy="0"/>
    <xdr:sp macro="" textlink="">
      <xdr:nvSpPr>
        <xdr:cNvPr id="418" name="Shape 418">
          <a:extLst>
            <a:ext uri="{FF2B5EF4-FFF2-40B4-BE49-F238E27FC236}">
              <a16:creationId xmlns:a16="http://schemas.microsoft.com/office/drawing/2014/main" id="{C46E41CB-0541-4B49-8D38-429E4C412F16}"/>
            </a:ext>
          </a:extLst>
        </xdr:cNvPr>
        <xdr:cNvSpPr/>
      </xdr:nvSpPr>
      <xdr:spPr>
        <a:xfrm>
          <a:off x="1650745" y="95134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465</xdr:row>
      <xdr:rowOff>6352</xdr:rowOff>
    </xdr:from>
    <xdr:ext cx="828675" cy="0"/>
    <xdr:sp macro="" textlink="">
      <xdr:nvSpPr>
        <xdr:cNvPr id="419" name="Shape 419">
          <a:extLst>
            <a:ext uri="{FF2B5EF4-FFF2-40B4-BE49-F238E27FC236}">
              <a16:creationId xmlns:a16="http://schemas.microsoft.com/office/drawing/2014/main" id="{96BB558C-0B9C-488F-BEC3-550AA8B4A100}"/>
            </a:ext>
          </a:extLst>
        </xdr:cNvPr>
        <xdr:cNvSpPr/>
      </xdr:nvSpPr>
      <xdr:spPr>
        <a:xfrm>
          <a:off x="550037" y="95134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465</xdr:row>
      <xdr:rowOff>6352</xdr:rowOff>
    </xdr:from>
    <xdr:ext cx="371475" cy="0"/>
    <xdr:sp macro="" textlink="">
      <xdr:nvSpPr>
        <xdr:cNvPr id="420" name="Shape 420">
          <a:extLst>
            <a:ext uri="{FF2B5EF4-FFF2-40B4-BE49-F238E27FC236}">
              <a16:creationId xmlns:a16="http://schemas.microsoft.com/office/drawing/2014/main" id="{C7E56687-1C31-4EF1-83C7-380983650612}"/>
            </a:ext>
          </a:extLst>
        </xdr:cNvPr>
        <xdr:cNvSpPr/>
      </xdr:nvSpPr>
      <xdr:spPr>
        <a:xfrm>
          <a:off x="8854440" y="95134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466</xdr:row>
      <xdr:rowOff>21973</xdr:rowOff>
    </xdr:from>
    <xdr:ext cx="114300" cy="114300"/>
    <xdr:pic>
      <xdr:nvPicPr>
        <xdr:cNvPr id="421" name="image1.png">
          <a:extLst>
            <a:ext uri="{FF2B5EF4-FFF2-40B4-BE49-F238E27FC236}">
              <a16:creationId xmlns:a16="http://schemas.microsoft.com/office/drawing/2014/main" id="{94BC7712-318E-4DB8-881A-4B0C3814D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534817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469</xdr:row>
      <xdr:rowOff>256</xdr:rowOff>
    </xdr:from>
    <xdr:ext cx="2141855" cy="0"/>
    <xdr:sp macro="" textlink="">
      <xdr:nvSpPr>
        <xdr:cNvPr id="422" name="Shape 422">
          <a:extLst>
            <a:ext uri="{FF2B5EF4-FFF2-40B4-BE49-F238E27FC236}">
              <a16:creationId xmlns:a16="http://schemas.microsoft.com/office/drawing/2014/main" id="{66F7D882-323B-4E36-95F8-05FC84C65413}"/>
            </a:ext>
          </a:extLst>
        </xdr:cNvPr>
        <xdr:cNvSpPr/>
      </xdr:nvSpPr>
      <xdr:spPr>
        <a:xfrm>
          <a:off x="1613874" y="96019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469</xdr:row>
      <xdr:rowOff>2</xdr:rowOff>
    </xdr:from>
    <xdr:ext cx="828675" cy="0"/>
    <xdr:sp macro="" textlink="">
      <xdr:nvSpPr>
        <xdr:cNvPr id="423" name="Shape 423">
          <a:extLst>
            <a:ext uri="{FF2B5EF4-FFF2-40B4-BE49-F238E27FC236}">
              <a16:creationId xmlns:a16="http://schemas.microsoft.com/office/drawing/2014/main" id="{E5A8C639-9C4E-482B-98BD-91A220355D0F}"/>
            </a:ext>
          </a:extLst>
        </xdr:cNvPr>
        <xdr:cNvSpPr/>
      </xdr:nvSpPr>
      <xdr:spPr>
        <a:xfrm>
          <a:off x="489305" y="96019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469</xdr:row>
      <xdr:rowOff>2</xdr:rowOff>
    </xdr:from>
    <xdr:ext cx="371475" cy="0"/>
    <xdr:sp macro="" textlink="">
      <xdr:nvSpPr>
        <xdr:cNvPr id="424" name="Shape 424">
          <a:extLst>
            <a:ext uri="{FF2B5EF4-FFF2-40B4-BE49-F238E27FC236}">
              <a16:creationId xmlns:a16="http://schemas.microsoft.com/office/drawing/2014/main" id="{B14CEB23-4168-4A43-A796-E14AD28F9952}"/>
            </a:ext>
          </a:extLst>
        </xdr:cNvPr>
        <xdr:cNvSpPr/>
      </xdr:nvSpPr>
      <xdr:spPr>
        <a:xfrm>
          <a:off x="8854440" y="96019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471</xdr:row>
      <xdr:rowOff>15623</xdr:rowOff>
    </xdr:from>
    <xdr:ext cx="114300" cy="114300"/>
    <xdr:pic>
      <xdr:nvPicPr>
        <xdr:cNvPr id="425" name="image1.png">
          <a:extLst>
            <a:ext uri="{FF2B5EF4-FFF2-40B4-BE49-F238E27FC236}">
              <a16:creationId xmlns:a16="http://schemas.microsoft.com/office/drawing/2014/main" id="{6CF68035-2021-4EB6-B34C-78D2E2221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63857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474</xdr:row>
      <xdr:rowOff>6606</xdr:rowOff>
    </xdr:from>
    <xdr:ext cx="2141855" cy="0"/>
    <xdr:sp macro="" textlink="">
      <xdr:nvSpPr>
        <xdr:cNvPr id="426" name="Shape 426">
          <a:extLst>
            <a:ext uri="{FF2B5EF4-FFF2-40B4-BE49-F238E27FC236}">
              <a16:creationId xmlns:a16="http://schemas.microsoft.com/office/drawing/2014/main" id="{B6975A07-B305-462D-A014-FD939CB291BE}"/>
            </a:ext>
          </a:extLst>
        </xdr:cNvPr>
        <xdr:cNvSpPr/>
      </xdr:nvSpPr>
      <xdr:spPr>
        <a:xfrm>
          <a:off x="1650745" y="970549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474</xdr:row>
      <xdr:rowOff>6352</xdr:rowOff>
    </xdr:from>
    <xdr:ext cx="828675" cy="0"/>
    <xdr:sp macro="" textlink="">
      <xdr:nvSpPr>
        <xdr:cNvPr id="427" name="Shape 427">
          <a:extLst>
            <a:ext uri="{FF2B5EF4-FFF2-40B4-BE49-F238E27FC236}">
              <a16:creationId xmlns:a16="http://schemas.microsoft.com/office/drawing/2014/main" id="{E6165755-B973-46C3-ACA2-A3DA764BF82E}"/>
            </a:ext>
          </a:extLst>
        </xdr:cNvPr>
        <xdr:cNvSpPr/>
      </xdr:nvSpPr>
      <xdr:spPr>
        <a:xfrm>
          <a:off x="550037" y="970546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474</xdr:row>
      <xdr:rowOff>6352</xdr:rowOff>
    </xdr:from>
    <xdr:ext cx="371475" cy="0"/>
    <xdr:sp macro="" textlink="">
      <xdr:nvSpPr>
        <xdr:cNvPr id="428" name="Shape 428">
          <a:extLst>
            <a:ext uri="{FF2B5EF4-FFF2-40B4-BE49-F238E27FC236}">
              <a16:creationId xmlns:a16="http://schemas.microsoft.com/office/drawing/2014/main" id="{3876ED7E-0668-4657-8E18-BE57B8684EDC}"/>
            </a:ext>
          </a:extLst>
        </xdr:cNvPr>
        <xdr:cNvSpPr/>
      </xdr:nvSpPr>
      <xdr:spPr>
        <a:xfrm>
          <a:off x="8854440" y="970546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475</xdr:row>
      <xdr:rowOff>21973</xdr:rowOff>
    </xdr:from>
    <xdr:ext cx="114300" cy="114300"/>
    <xdr:pic>
      <xdr:nvPicPr>
        <xdr:cNvPr id="429" name="image1.png">
          <a:extLst>
            <a:ext uri="{FF2B5EF4-FFF2-40B4-BE49-F238E27FC236}">
              <a16:creationId xmlns:a16="http://schemas.microsoft.com/office/drawing/2014/main" id="{CECA7E92-ABBC-4DC9-9E98-5D7E2E9E7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26841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478</xdr:row>
      <xdr:rowOff>256</xdr:rowOff>
    </xdr:from>
    <xdr:ext cx="2141855" cy="0"/>
    <xdr:sp macro="" textlink="">
      <xdr:nvSpPr>
        <xdr:cNvPr id="430" name="Shape 430">
          <a:extLst>
            <a:ext uri="{FF2B5EF4-FFF2-40B4-BE49-F238E27FC236}">
              <a16:creationId xmlns:a16="http://schemas.microsoft.com/office/drawing/2014/main" id="{4B0C0E7C-E546-495D-99F0-E410903AF793}"/>
            </a:ext>
          </a:extLst>
        </xdr:cNvPr>
        <xdr:cNvSpPr/>
      </xdr:nvSpPr>
      <xdr:spPr>
        <a:xfrm>
          <a:off x="1613874" y="9794011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478</xdr:row>
      <xdr:rowOff>2</xdr:rowOff>
    </xdr:from>
    <xdr:ext cx="828675" cy="0"/>
    <xdr:sp macro="" textlink="">
      <xdr:nvSpPr>
        <xdr:cNvPr id="431" name="Shape 431">
          <a:extLst>
            <a:ext uri="{FF2B5EF4-FFF2-40B4-BE49-F238E27FC236}">
              <a16:creationId xmlns:a16="http://schemas.microsoft.com/office/drawing/2014/main" id="{5EC7F733-3CDB-488B-AB4D-B05D44ABD629}"/>
            </a:ext>
          </a:extLst>
        </xdr:cNvPr>
        <xdr:cNvSpPr/>
      </xdr:nvSpPr>
      <xdr:spPr>
        <a:xfrm>
          <a:off x="489305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478</xdr:row>
      <xdr:rowOff>2</xdr:rowOff>
    </xdr:from>
    <xdr:ext cx="828675" cy="0"/>
    <xdr:sp macro="" textlink="">
      <xdr:nvSpPr>
        <xdr:cNvPr id="432" name="Shape 432">
          <a:extLst>
            <a:ext uri="{FF2B5EF4-FFF2-40B4-BE49-F238E27FC236}">
              <a16:creationId xmlns:a16="http://schemas.microsoft.com/office/drawing/2014/main" id="{8AC35346-A1CD-494A-B12B-8FF3AA701527}"/>
            </a:ext>
          </a:extLst>
        </xdr:cNvPr>
        <xdr:cNvSpPr/>
      </xdr:nvSpPr>
      <xdr:spPr>
        <a:xfrm>
          <a:off x="4437507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478</xdr:row>
      <xdr:rowOff>2</xdr:rowOff>
    </xdr:from>
    <xdr:ext cx="371475" cy="0"/>
    <xdr:sp macro="" textlink="">
      <xdr:nvSpPr>
        <xdr:cNvPr id="433" name="Shape 433">
          <a:extLst>
            <a:ext uri="{FF2B5EF4-FFF2-40B4-BE49-F238E27FC236}">
              <a16:creationId xmlns:a16="http://schemas.microsoft.com/office/drawing/2014/main" id="{7210964D-5B1E-4D8B-AF1D-90A45B3B4B64}"/>
            </a:ext>
          </a:extLst>
        </xdr:cNvPr>
        <xdr:cNvSpPr/>
      </xdr:nvSpPr>
      <xdr:spPr>
        <a:xfrm>
          <a:off x="8854440" y="9793986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479</xdr:row>
      <xdr:rowOff>187327</xdr:rowOff>
    </xdr:from>
    <xdr:ext cx="828675" cy="0"/>
    <xdr:sp macro="" textlink="">
      <xdr:nvSpPr>
        <xdr:cNvPr id="434" name="Shape 434">
          <a:extLst>
            <a:ext uri="{FF2B5EF4-FFF2-40B4-BE49-F238E27FC236}">
              <a16:creationId xmlns:a16="http://schemas.microsoft.com/office/drawing/2014/main" id="{EAFFAF3C-A928-424F-AB5E-55AB5F206B67}"/>
            </a:ext>
          </a:extLst>
        </xdr:cNvPr>
        <xdr:cNvSpPr/>
      </xdr:nvSpPr>
      <xdr:spPr>
        <a:xfrm>
          <a:off x="4424807" y="982872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480</xdr:row>
      <xdr:rowOff>15623</xdr:rowOff>
    </xdr:from>
    <xdr:ext cx="114300" cy="114300"/>
    <xdr:pic>
      <xdr:nvPicPr>
        <xdr:cNvPr id="435" name="image1.png">
          <a:extLst>
            <a:ext uri="{FF2B5EF4-FFF2-40B4-BE49-F238E27FC236}">
              <a16:creationId xmlns:a16="http://schemas.microsoft.com/office/drawing/2014/main" id="{82A8250C-8155-4DB3-88E0-64C0B8311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830600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483</xdr:row>
      <xdr:rowOff>6606</xdr:rowOff>
    </xdr:from>
    <xdr:ext cx="2141855" cy="0"/>
    <xdr:sp macro="" textlink="">
      <xdr:nvSpPr>
        <xdr:cNvPr id="436" name="Shape 436">
          <a:extLst>
            <a:ext uri="{FF2B5EF4-FFF2-40B4-BE49-F238E27FC236}">
              <a16:creationId xmlns:a16="http://schemas.microsoft.com/office/drawing/2014/main" id="{920DAA9D-EE1B-48A8-A50E-A7C66ED65030}"/>
            </a:ext>
          </a:extLst>
        </xdr:cNvPr>
        <xdr:cNvSpPr/>
      </xdr:nvSpPr>
      <xdr:spPr>
        <a:xfrm>
          <a:off x="1650745" y="9897516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483</xdr:row>
      <xdr:rowOff>6352</xdr:rowOff>
    </xdr:from>
    <xdr:ext cx="828675" cy="0"/>
    <xdr:sp macro="" textlink="">
      <xdr:nvSpPr>
        <xdr:cNvPr id="437" name="Shape 437">
          <a:extLst>
            <a:ext uri="{FF2B5EF4-FFF2-40B4-BE49-F238E27FC236}">
              <a16:creationId xmlns:a16="http://schemas.microsoft.com/office/drawing/2014/main" id="{31BD203A-C861-4D1F-900E-13509A965FB2}"/>
            </a:ext>
          </a:extLst>
        </xdr:cNvPr>
        <xdr:cNvSpPr/>
      </xdr:nvSpPr>
      <xdr:spPr>
        <a:xfrm>
          <a:off x="550037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483</xdr:row>
      <xdr:rowOff>6352</xdr:rowOff>
    </xdr:from>
    <xdr:ext cx="828675" cy="0"/>
    <xdr:sp macro="" textlink="">
      <xdr:nvSpPr>
        <xdr:cNvPr id="438" name="Shape 438">
          <a:extLst>
            <a:ext uri="{FF2B5EF4-FFF2-40B4-BE49-F238E27FC236}">
              <a16:creationId xmlns:a16="http://schemas.microsoft.com/office/drawing/2014/main" id="{94957D13-6687-4E64-8897-97A5BD0D832F}"/>
            </a:ext>
          </a:extLst>
        </xdr:cNvPr>
        <xdr:cNvSpPr/>
      </xdr:nvSpPr>
      <xdr:spPr>
        <a:xfrm>
          <a:off x="4403804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483</xdr:row>
      <xdr:rowOff>6352</xdr:rowOff>
    </xdr:from>
    <xdr:ext cx="371475" cy="0"/>
    <xdr:sp macro="" textlink="">
      <xdr:nvSpPr>
        <xdr:cNvPr id="439" name="Shape 439">
          <a:extLst>
            <a:ext uri="{FF2B5EF4-FFF2-40B4-BE49-F238E27FC236}">
              <a16:creationId xmlns:a16="http://schemas.microsoft.com/office/drawing/2014/main" id="{D43F8251-0741-420E-AA18-6F1C0B99A06B}"/>
            </a:ext>
          </a:extLst>
        </xdr:cNvPr>
        <xdr:cNvSpPr/>
      </xdr:nvSpPr>
      <xdr:spPr>
        <a:xfrm>
          <a:off x="8854440" y="9897491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484</xdr:row>
      <xdr:rowOff>3177</xdr:rowOff>
    </xdr:from>
    <xdr:ext cx="828675" cy="0"/>
    <xdr:sp macro="" textlink="">
      <xdr:nvSpPr>
        <xdr:cNvPr id="440" name="Shape 440">
          <a:extLst>
            <a:ext uri="{FF2B5EF4-FFF2-40B4-BE49-F238E27FC236}">
              <a16:creationId xmlns:a16="http://schemas.microsoft.com/office/drawing/2014/main" id="{1C12A8C4-4560-4D65-94CA-A1856901B866}"/>
            </a:ext>
          </a:extLst>
        </xdr:cNvPr>
        <xdr:cNvSpPr/>
      </xdr:nvSpPr>
      <xdr:spPr>
        <a:xfrm>
          <a:off x="4424807" y="9916985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484</xdr:row>
      <xdr:rowOff>21973</xdr:rowOff>
    </xdr:from>
    <xdr:ext cx="114300" cy="114300"/>
    <xdr:pic>
      <xdr:nvPicPr>
        <xdr:cNvPr id="441" name="image1.png">
          <a:extLst>
            <a:ext uri="{FF2B5EF4-FFF2-40B4-BE49-F238E27FC236}">
              <a16:creationId xmlns:a16="http://schemas.microsoft.com/office/drawing/2014/main" id="{C8EBA13D-3033-4820-A346-4FB8E09D9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918865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487</xdr:row>
      <xdr:rowOff>256</xdr:rowOff>
    </xdr:from>
    <xdr:ext cx="2141855" cy="0"/>
    <xdr:sp macro="" textlink="">
      <xdr:nvSpPr>
        <xdr:cNvPr id="442" name="Shape 442">
          <a:extLst>
            <a:ext uri="{FF2B5EF4-FFF2-40B4-BE49-F238E27FC236}">
              <a16:creationId xmlns:a16="http://schemas.microsoft.com/office/drawing/2014/main" id="{46606AF2-F7CA-469F-A153-4AB9EB0C617D}"/>
            </a:ext>
          </a:extLst>
        </xdr:cNvPr>
        <xdr:cNvSpPr/>
      </xdr:nvSpPr>
      <xdr:spPr>
        <a:xfrm>
          <a:off x="1613874" y="998603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487</xdr:row>
      <xdr:rowOff>2</xdr:rowOff>
    </xdr:from>
    <xdr:ext cx="828675" cy="0"/>
    <xdr:sp macro="" textlink="">
      <xdr:nvSpPr>
        <xdr:cNvPr id="443" name="Shape 443">
          <a:extLst>
            <a:ext uri="{FF2B5EF4-FFF2-40B4-BE49-F238E27FC236}">
              <a16:creationId xmlns:a16="http://schemas.microsoft.com/office/drawing/2014/main" id="{DB0977E9-DA26-478C-B3ED-D13D65581CD3}"/>
            </a:ext>
          </a:extLst>
        </xdr:cNvPr>
        <xdr:cNvSpPr/>
      </xdr:nvSpPr>
      <xdr:spPr>
        <a:xfrm>
          <a:off x="489305" y="998601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487</xdr:row>
      <xdr:rowOff>2</xdr:rowOff>
    </xdr:from>
    <xdr:ext cx="371475" cy="0"/>
    <xdr:sp macro="" textlink="">
      <xdr:nvSpPr>
        <xdr:cNvPr id="444" name="Shape 444">
          <a:extLst>
            <a:ext uri="{FF2B5EF4-FFF2-40B4-BE49-F238E27FC236}">
              <a16:creationId xmlns:a16="http://schemas.microsoft.com/office/drawing/2014/main" id="{BB6DC3AD-305F-41CF-B4A9-5AE29CFC8F0D}"/>
            </a:ext>
          </a:extLst>
        </xdr:cNvPr>
        <xdr:cNvSpPr/>
      </xdr:nvSpPr>
      <xdr:spPr>
        <a:xfrm>
          <a:off x="8854440" y="998601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489</xdr:row>
      <xdr:rowOff>15623</xdr:rowOff>
    </xdr:from>
    <xdr:ext cx="114300" cy="114300"/>
    <xdr:pic>
      <xdr:nvPicPr>
        <xdr:cNvPr id="445" name="image1.png">
          <a:extLst>
            <a:ext uri="{FF2B5EF4-FFF2-40B4-BE49-F238E27FC236}">
              <a16:creationId xmlns:a16="http://schemas.microsoft.com/office/drawing/2014/main" id="{49514BE6-E4F4-4D28-9C4F-4FECD6E8A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02262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492</xdr:row>
      <xdr:rowOff>6606</xdr:rowOff>
    </xdr:from>
    <xdr:ext cx="2141855" cy="0"/>
    <xdr:sp macro="" textlink="">
      <xdr:nvSpPr>
        <xdr:cNvPr id="446" name="Shape 446">
          <a:extLst>
            <a:ext uri="{FF2B5EF4-FFF2-40B4-BE49-F238E27FC236}">
              <a16:creationId xmlns:a16="http://schemas.microsoft.com/office/drawing/2014/main" id="{2123C573-5F10-4C68-A2AA-17EC50133895}"/>
            </a:ext>
          </a:extLst>
        </xdr:cNvPr>
        <xdr:cNvSpPr/>
      </xdr:nvSpPr>
      <xdr:spPr>
        <a:xfrm>
          <a:off x="1650745" y="1008954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492</xdr:row>
      <xdr:rowOff>6352</xdr:rowOff>
    </xdr:from>
    <xdr:ext cx="828675" cy="0"/>
    <xdr:sp macro="" textlink="">
      <xdr:nvSpPr>
        <xdr:cNvPr id="447" name="Shape 447">
          <a:extLst>
            <a:ext uri="{FF2B5EF4-FFF2-40B4-BE49-F238E27FC236}">
              <a16:creationId xmlns:a16="http://schemas.microsoft.com/office/drawing/2014/main" id="{48B38F75-7921-4E33-A5AA-9053CF03729A}"/>
            </a:ext>
          </a:extLst>
        </xdr:cNvPr>
        <xdr:cNvSpPr/>
      </xdr:nvSpPr>
      <xdr:spPr>
        <a:xfrm>
          <a:off x="550037" y="1008951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492</xdr:row>
      <xdr:rowOff>6352</xdr:rowOff>
    </xdr:from>
    <xdr:ext cx="371475" cy="0"/>
    <xdr:sp macro="" textlink="">
      <xdr:nvSpPr>
        <xdr:cNvPr id="448" name="Shape 448">
          <a:extLst>
            <a:ext uri="{FF2B5EF4-FFF2-40B4-BE49-F238E27FC236}">
              <a16:creationId xmlns:a16="http://schemas.microsoft.com/office/drawing/2014/main" id="{A6751236-BF27-4D8F-9F81-78010A91B82F}"/>
            </a:ext>
          </a:extLst>
        </xdr:cNvPr>
        <xdr:cNvSpPr/>
      </xdr:nvSpPr>
      <xdr:spPr>
        <a:xfrm>
          <a:off x="8854440" y="1008951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493</xdr:row>
      <xdr:rowOff>21973</xdr:rowOff>
    </xdr:from>
    <xdr:ext cx="114300" cy="114300"/>
    <xdr:pic>
      <xdr:nvPicPr>
        <xdr:cNvPr id="449" name="image1.png">
          <a:extLst>
            <a:ext uri="{FF2B5EF4-FFF2-40B4-BE49-F238E27FC236}">
              <a16:creationId xmlns:a16="http://schemas.microsoft.com/office/drawing/2014/main" id="{C5B71F7B-BFB3-48B6-A42B-6D8BEB3A5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108893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496</xdr:row>
      <xdr:rowOff>260348</xdr:rowOff>
    </xdr:from>
    <xdr:ext cx="828675" cy="0"/>
    <xdr:sp macro="" textlink="">
      <xdr:nvSpPr>
        <xdr:cNvPr id="450" name="Shape 450">
          <a:extLst>
            <a:ext uri="{FF2B5EF4-FFF2-40B4-BE49-F238E27FC236}">
              <a16:creationId xmlns:a16="http://schemas.microsoft.com/office/drawing/2014/main" id="{14BFB3BF-2E00-470B-987D-1415DC29A87E}"/>
            </a:ext>
          </a:extLst>
        </xdr:cNvPr>
        <xdr:cNvSpPr/>
      </xdr:nvSpPr>
      <xdr:spPr>
        <a:xfrm>
          <a:off x="551688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496</xdr:row>
      <xdr:rowOff>260603</xdr:rowOff>
    </xdr:from>
    <xdr:ext cx="2141855" cy="0"/>
    <xdr:sp macro="" textlink="">
      <xdr:nvSpPr>
        <xdr:cNvPr id="451" name="Shape 451">
          <a:extLst>
            <a:ext uri="{FF2B5EF4-FFF2-40B4-BE49-F238E27FC236}">
              <a16:creationId xmlns:a16="http://schemas.microsoft.com/office/drawing/2014/main" id="{344F1BD1-C8D7-4663-9F77-4E7F87E83C07}"/>
            </a:ext>
          </a:extLst>
        </xdr:cNvPr>
        <xdr:cNvSpPr/>
      </xdr:nvSpPr>
      <xdr:spPr>
        <a:xfrm>
          <a:off x="1645920" y="1016980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496</xdr:row>
      <xdr:rowOff>260348</xdr:rowOff>
    </xdr:from>
    <xdr:ext cx="828675" cy="0"/>
    <xdr:sp macro="" textlink="">
      <xdr:nvSpPr>
        <xdr:cNvPr id="452" name="Shape 452">
          <a:extLst>
            <a:ext uri="{FF2B5EF4-FFF2-40B4-BE49-F238E27FC236}">
              <a16:creationId xmlns:a16="http://schemas.microsoft.com/office/drawing/2014/main" id="{AC752E34-2C39-4D16-B0FC-1ACB8CEF6C5D}"/>
            </a:ext>
          </a:extLst>
        </xdr:cNvPr>
        <xdr:cNvSpPr/>
      </xdr:nvSpPr>
      <xdr:spPr>
        <a:xfrm>
          <a:off x="550037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496</xdr:row>
      <xdr:rowOff>260348</xdr:rowOff>
    </xdr:from>
    <xdr:ext cx="828675" cy="0"/>
    <xdr:sp macro="" textlink="">
      <xdr:nvSpPr>
        <xdr:cNvPr id="453" name="Shape 453">
          <a:extLst>
            <a:ext uri="{FF2B5EF4-FFF2-40B4-BE49-F238E27FC236}">
              <a16:creationId xmlns:a16="http://schemas.microsoft.com/office/drawing/2014/main" id="{D224865A-0619-443A-B6B1-FB7C8AEAFE99}"/>
            </a:ext>
          </a:extLst>
        </xdr:cNvPr>
        <xdr:cNvSpPr/>
      </xdr:nvSpPr>
      <xdr:spPr>
        <a:xfrm>
          <a:off x="774192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496</xdr:row>
      <xdr:rowOff>260348</xdr:rowOff>
    </xdr:from>
    <xdr:ext cx="828675" cy="0"/>
    <xdr:sp macro="" textlink="">
      <xdr:nvSpPr>
        <xdr:cNvPr id="454" name="Shape 454">
          <a:extLst>
            <a:ext uri="{FF2B5EF4-FFF2-40B4-BE49-F238E27FC236}">
              <a16:creationId xmlns:a16="http://schemas.microsoft.com/office/drawing/2014/main" id="{3A123792-BAC6-4E19-8AF5-40AC860AAD1C}"/>
            </a:ext>
          </a:extLst>
        </xdr:cNvPr>
        <xdr:cNvSpPr/>
      </xdr:nvSpPr>
      <xdr:spPr>
        <a:xfrm>
          <a:off x="4419663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496</xdr:row>
      <xdr:rowOff>260348</xdr:rowOff>
    </xdr:from>
    <xdr:ext cx="828675" cy="0"/>
    <xdr:sp macro="" textlink="">
      <xdr:nvSpPr>
        <xdr:cNvPr id="455" name="Shape 455">
          <a:extLst>
            <a:ext uri="{FF2B5EF4-FFF2-40B4-BE49-F238E27FC236}">
              <a16:creationId xmlns:a16="http://schemas.microsoft.com/office/drawing/2014/main" id="{35A1117C-8F2C-4184-8C7E-6BC2A8F5726F}"/>
            </a:ext>
          </a:extLst>
        </xdr:cNvPr>
        <xdr:cNvSpPr/>
      </xdr:nvSpPr>
      <xdr:spPr>
        <a:xfrm>
          <a:off x="662940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496</xdr:row>
      <xdr:rowOff>260348</xdr:rowOff>
    </xdr:from>
    <xdr:ext cx="371475" cy="0"/>
    <xdr:sp macro="" textlink="">
      <xdr:nvSpPr>
        <xdr:cNvPr id="456" name="Shape 456">
          <a:extLst>
            <a:ext uri="{FF2B5EF4-FFF2-40B4-BE49-F238E27FC236}">
              <a16:creationId xmlns:a16="http://schemas.microsoft.com/office/drawing/2014/main" id="{FA657CE8-1850-456B-8973-54F3A511AD28}"/>
            </a:ext>
          </a:extLst>
        </xdr:cNvPr>
        <xdr:cNvSpPr/>
      </xdr:nvSpPr>
      <xdr:spPr>
        <a:xfrm>
          <a:off x="8854440" y="10169778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497</xdr:row>
      <xdr:rowOff>21969</xdr:rowOff>
    </xdr:from>
    <xdr:ext cx="114300" cy="114300"/>
    <xdr:pic>
      <xdr:nvPicPr>
        <xdr:cNvPr id="457" name="image1.png">
          <a:extLst>
            <a:ext uri="{FF2B5EF4-FFF2-40B4-BE49-F238E27FC236}">
              <a16:creationId xmlns:a16="http://schemas.microsoft.com/office/drawing/2014/main" id="{2749B196-1D59-4EBD-A553-9FD07710B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90898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500</xdr:row>
      <xdr:rowOff>253</xdr:rowOff>
    </xdr:from>
    <xdr:ext cx="2141855" cy="0"/>
    <xdr:sp macro="" textlink="">
      <xdr:nvSpPr>
        <xdr:cNvPr id="458" name="Shape 458">
          <a:extLst>
            <a:ext uri="{FF2B5EF4-FFF2-40B4-BE49-F238E27FC236}">
              <a16:creationId xmlns:a16="http://schemas.microsoft.com/office/drawing/2014/main" id="{CDE695C7-3367-419B-AEDB-2A69B6FDE2D0}"/>
            </a:ext>
          </a:extLst>
        </xdr:cNvPr>
        <xdr:cNvSpPr/>
      </xdr:nvSpPr>
      <xdr:spPr>
        <a:xfrm>
          <a:off x="1668834" y="10258069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500</xdr:row>
      <xdr:rowOff>-1</xdr:rowOff>
    </xdr:from>
    <xdr:ext cx="828675" cy="0"/>
    <xdr:sp macro="" textlink="">
      <xdr:nvSpPr>
        <xdr:cNvPr id="459" name="Shape 459">
          <a:extLst>
            <a:ext uri="{FF2B5EF4-FFF2-40B4-BE49-F238E27FC236}">
              <a16:creationId xmlns:a16="http://schemas.microsoft.com/office/drawing/2014/main" id="{73734089-A20E-420C-95DA-9C1FA0BD4961}"/>
            </a:ext>
          </a:extLst>
        </xdr:cNvPr>
        <xdr:cNvSpPr/>
      </xdr:nvSpPr>
      <xdr:spPr>
        <a:xfrm>
          <a:off x="489305" y="10258043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500</xdr:row>
      <xdr:rowOff>-1</xdr:rowOff>
    </xdr:from>
    <xdr:ext cx="371475" cy="0"/>
    <xdr:sp macro="" textlink="">
      <xdr:nvSpPr>
        <xdr:cNvPr id="460" name="Shape 460">
          <a:extLst>
            <a:ext uri="{FF2B5EF4-FFF2-40B4-BE49-F238E27FC236}">
              <a16:creationId xmlns:a16="http://schemas.microsoft.com/office/drawing/2014/main" id="{EFC13B4B-A2F7-45A3-9C53-A224BB106A6F}"/>
            </a:ext>
          </a:extLst>
        </xdr:cNvPr>
        <xdr:cNvSpPr/>
      </xdr:nvSpPr>
      <xdr:spPr>
        <a:xfrm>
          <a:off x="8854440" y="10258043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501</xdr:row>
      <xdr:rowOff>15619</xdr:rowOff>
    </xdr:from>
    <xdr:ext cx="114300" cy="114300"/>
    <xdr:pic>
      <xdr:nvPicPr>
        <xdr:cNvPr id="461" name="image1.png">
          <a:extLst>
            <a:ext uri="{FF2B5EF4-FFF2-40B4-BE49-F238E27FC236}">
              <a16:creationId xmlns:a16="http://schemas.microsoft.com/office/drawing/2014/main" id="{9AB50BFA-9904-47D6-B1CD-FFC1CA3C6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279417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504</xdr:row>
      <xdr:rowOff>6603</xdr:rowOff>
    </xdr:from>
    <xdr:ext cx="2141855" cy="0"/>
    <xdr:sp macro="" textlink="">
      <xdr:nvSpPr>
        <xdr:cNvPr id="462" name="Shape 462">
          <a:extLst>
            <a:ext uri="{FF2B5EF4-FFF2-40B4-BE49-F238E27FC236}">
              <a16:creationId xmlns:a16="http://schemas.microsoft.com/office/drawing/2014/main" id="{DE7D9538-9AE0-42A0-BF94-02C8AA630616}"/>
            </a:ext>
          </a:extLst>
        </xdr:cNvPr>
        <xdr:cNvSpPr/>
      </xdr:nvSpPr>
      <xdr:spPr>
        <a:xfrm>
          <a:off x="1650745" y="1034633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504</xdr:row>
      <xdr:rowOff>6354</xdr:rowOff>
    </xdr:from>
    <xdr:ext cx="828675" cy="0"/>
    <xdr:sp macro="" textlink="">
      <xdr:nvSpPr>
        <xdr:cNvPr id="463" name="Shape 463">
          <a:extLst>
            <a:ext uri="{FF2B5EF4-FFF2-40B4-BE49-F238E27FC236}">
              <a16:creationId xmlns:a16="http://schemas.microsoft.com/office/drawing/2014/main" id="{5E3577A6-38BB-4BF6-AC5C-6B251C9ED59F}"/>
            </a:ext>
          </a:extLst>
        </xdr:cNvPr>
        <xdr:cNvSpPr/>
      </xdr:nvSpPr>
      <xdr:spPr>
        <a:xfrm>
          <a:off x="550037" y="10346309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504</xdr:row>
      <xdr:rowOff>6354</xdr:rowOff>
    </xdr:from>
    <xdr:ext cx="371475" cy="0"/>
    <xdr:sp macro="" textlink="">
      <xdr:nvSpPr>
        <xdr:cNvPr id="464" name="Shape 464">
          <a:extLst>
            <a:ext uri="{FF2B5EF4-FFF2-40B4-BE49-F238E27FC236}">
              <a16:creationId xmlns:a16="http://schemas.microsoft.com/office/drawing/2014/main" id="{FF8361AF-00C5-4609-BC76-6574C882EB0D}"/>
            </a:ext>
          </a:extLst>
        </xdr:cNvPr>
        <xdr:cNvSpPr/>
      </xdr:nvSpPr>
      <xdr:spPr>
        <a:xfrm>
          <a:off x="8854440" y="10346309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505</xdr:row>
      <xdr:rowOff>21969</xdr:rowOff>
    </xdr:from>
    <xdr:ext cx="114300" cy="114300"/>
    <xdr:pic>
      <xdr:nvPicPr>
        <xdr:cNvPr id="465" name="image1.png">
          <a:extLst>
            <a:ext uri="{FF2B5EF4-FFF2-40B4-BE49-F238E27FC236}">
              <a16:creationId xmlns:a16="http://schemas.microsoft.com/office/drawing/2014/main" id="{C4D86EA5-CE4B-475B-8D89-60831B4C6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367682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508</xdr:row>
      <xdr:rowOff>253</xdr:rowOff>
    </xdr:from>
    <xdr:ext cx="2141855" cy="0"/>
    <xdr:sp macro="" textlink="">
      <xdr:nvSpPr>
        <xdr:cNvPr id="466" name="Shape 466">
          <a:extLst>
            <a:ext uri="{FF2B5EF4-FFF2-40B4-BE49-F238E27FC236}">
              <a16:creationId xmlns:a16="http://schemas.microsoft.com/office/drawing/2014/main" id="{0DCC1367-881C-47FB-B45C-5FA2C2DA4A78}"/>
            </a:ext>
          </a:extLst>
        </xdr:cNvPr>
        <xdr:cNvSpPr/>
      </xdr:nvSpPr>
      <xdr:spPr>
        <a:xfrm>
          <a:off x="1650745" y="1043485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508</xdr:row>
      <xdr:rowOff>4</xdr:rowOff>
    </xdr:from>
    <xdr:ext cx="828675" cy="0"/>
    <xdr:sp macro="" textlink="">
      <xdr:nvSpPr>
        <xdr:cNvPr id="467" name="Shape 467">
          <a:extLst>
            <a:ext uri="{FF2B5EF4-FFF2-40B4-BE49-F238E27FC236}">
              <a16:creationId xmlns:a16="http://schemas.microsoft.com/office/drawing/2014/main" id="{519467D6-04FB-4433-A491-050FECA5EA1A}"/>
            </a:ext>
          </a:extLst>
        </xdr:cNvPr>
        <xdr:cNvSpPr/>
      </xdr:nvSpPr>
      <xdr:spPr>
        <a:xfrm>
          <a:off x="550037" y="10434828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508</xdr:row>
      <xdr:rowOff>4</xdr:rowOff>
    </xdr:from>
    <xdr:ext cx="371475" cy="0"/>
    <xdr:sp macro="" textlink="">
      <xdr:nvSpPr>
        <xdr:cNvPr id="468" name="Shape 468">
          <a:extLst>
            <a:ext uri="{FF2B5EF4-FFF2-40B4-BE49-F238E27FC236}">
              <a16:creationId xmlns:a16="http://schemas.microsoft.com/office/drawing/2014/main" id="{DAA14021-FB74-4C47-B295-4B8AF44A85F0}"/>
            </a:ext>
          </a:extLst>
        </xdr:cNvPr>
        <xdr:cNvSpPr/>
      </xdr:nvSpPr>
      <xdr:spPr>
        <a:xfrm>
          <a:off x="8854440" y="10434828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509</xdr:row>
      <xdr:rowOff>15619</xdr:rowOff>
    </xdr:from>
    <xdr:ext cx="114300" cy="114300"/>
    <xdr:pic>
      <xdr:nvPicPr>
        <xdr:cNvPr id="469" name="image1.png">
          <a:extLst>
            <a:ext uri="{FF2B5EF4-FFF2-40B4-BE49-F238E27FC236}">
              <a16:creationId xmlns:a16="http://schemas.microsoft.com/office/drawing/2014/main" id="{9A453444-7FF7-40B9-BE83-D0AE10939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456201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512</xdr:row>
      <xdr:rowOff>6603</xdr:rowOff>
    </xdr:from>
    <xdr:ext cx="2141855" cy="0"/>
    <xdr:sp macro="" textlink="">
      <xdr:nvSpPr>
        <xdr:cNvPr id="470" name="Shape 470">
          <a:extLst>
            <a:ext uri="{FF2B5EF4-FFF2-40B4-BE49-F238E27FC236}">
              <a16:creationId xmlns:a16="http://schemas.microsoft.com/office/drawing/2014/main" id="{2B636373-7701-4B2A-8B38-AC3B1C10DC9F}"/>
            </a:ext>
          </a:extLst>
        </xdr:cNvPr>
        <xdr:cNvSpPr/>
      </xdr:nvSpPr>
      <xdr:spPr>
        <a:xfrm>
          <a:off x="1650745" y="10523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512</xdr:row>
      <xdr:rowOff>6354</xdr:rowOff>
    </xdr:from>
    <xdr:ext cx="828675" cy="0"/>
    <xdr:sp macro="" textlink="">
      <xdr:nvSpPr>
        <xdr:cNvPr id="471" name="Shape 471">
          <a:extLst>
            <a:ext uri="{FF2B5EF4-FFF2-40B4-BE49-F238E27FC236}">
              <a16:creationId xmlns:a16="http://schemas.microsoft.com/office/drawing/2014/main" id="{E283809F-3796-4782-8555-51782B2F6666}"/>
            </a:ext>
          </a:extLst>
        </xdr:cNvPr>
        <xdr:cNvSpPr/>
      </xdr:nvSpPr>
      <xdr:spPr>
        <a:xfrm>
          <a:off x="550037" y="10523093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512</xdr:row>
      <xdr:rowOff>6354</xdr:rowOff>
    </xdr:from>
    <xdr:ext cx="371475" cy="0"/>
    <xdr:sp macro="" textlink="">
      <xdr:nvSpPr>
        <xdr:cNvPr id="472" name="Shape 472">
          <a:extLst>
            <a:ext uri="{FF2B5EF4-FFF2-40B4-BE49-F238E27FC236}">
              <a16:creationId xmlns:a16="http://schemas.microsoft.com/office/drawing/2014/main" id="{A1A70A4C-E263-439D-ADCA-F219635FD885}"/>
            </a:ext>
          </a:extLst>
        </xdr:cNvPr>
        <xdr:cNvSpPr/>
      </xdr:nvSpPr>
      <xdr:spPr>
        <a:xfrm>
          <a:off x="8854440" y="10523093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513</xdr:row>
      <xdr:rowOff>21969</xdr:rowOff>
    </xdr:from>
    <xdr:ext cx="114300" cy="114300"/>
    <xdr:pic>
      <xdr:nvPicPr>
        <xdr:cNvPr id="473" name="image1.png">
          <a:extLst>
            <a:ext uri="{FF2B5EF4-FFF2-40B4-BE49-F238E27FC236}">
              <a16:creationId xmlns:a16="http://schemas.microsoft.com/office/drawing/2014/main" id="{E99118FF-42A7-4696-9576-ED8D95A6A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54446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516</xdr:row>
      <xdr:rowOff>253</xdr:rowOff>
    </xdr:from>
    <xdr:ext cx="2141855" cy="0"/>
    <xdr:sp macro="" textlink="">
      <xdr:nvSpPr>
        <xdr:cNvPr id="474" name="Shape 474">
          <a:extLst>
            <a:ext uri="{FF2B5EF4-FFF2-40B4-BE49-F238E27FC236}">
              <a16:creationId xmlns:a16="http://schemas.microsoft.com/office/drawing/2014/main" id="{42641BDE-F3D0-4F7F-AB30-AA5204DAD1B9}"/>
            </a:ext>
          </a:extLst>
        </xdr:cNvPr>
        <xdr:cNvSpPr/>
      </xdr:nvSpPr>
      <xdr:spPr>
        <a:xfrm>
          <a:off x="1650745" y="1061163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516</xdr:row>
      <xdr:rowOff>4</xdr:rowOff>
    </xdr:from>
    <xdr:ext cx="828675" cy="0"/>
    <xdr:sp macro="" textlink="">
      <xdr:nvSpPr>
        <xdr:cNvPr id="475" name="Shape 475">
          <a:extLst>
            <a:ext uri="{FF2B5EF4-FFF2-40B4-BE49-F238E27FC236}">
              <a16:creationId xmlns:a16="http://schemas.microsoft.com/office/drawing/2014/main" id="{7B6A591B-7DCD-437B-8B3C-AAC49DB0B6DA}"/>
            </a:ext>
          </a:extLst>
        </xdr:cNvPr>
        <xdr:cNvSpPr/>
      </xdr:nvSpPr>
      <xdr:spPr>
        <a:xfrm>
          <a:off x="550037" y="10611612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516</xdr:row>
      <xdr:rowOff>4</xdr:rowOff>
    </xdr:from>
    <xdr:ext cx="371475" cy="0"/>
    <xdr:sp macro="" textlink="">
      <xdr:nvSpPr>
        <xdr:cNvPr id="476" name="Shape 476">
          <a:extLst>
            <a:ext uri="{FF2B5EF4-FFF2-40B4-BE49-F238E27FC236}">
              <a16:creationId xmlns:a16="http://schemas.microsoft.com/office/drawing/2014/main" id="{E8EC504E-59FA-4AF3-AB9E-1FE90E4B7A7F}"/>
            </a:ext>
          </a:extLst>
        </xdr:cNvPr>
        <xdr:cNvSpPr/>
      </xdr:nvSpPr>
      <xdr:spPr>
        <a:xfrm>
          <a:off x="8854440" y="10611612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517</xdr:row>
      <xdr:rowOff>15619</xdr:rowOff>
    </xdr:from>
    <xdr:ext cx="114300" cy="114300"/>
    <xdr:pic>
      <xdr:nvPicPr>
        <xdr:cNvPr id="477" name="image1.png">
          <a:extLst>
            <a:ext uri="{FF2B5EF4-FFF2-40B4-BE49-F238E27FC236}">
              <a16:creationId xmlns:a16="http://schemas.microsoft.com/office/drawing/2014/main" id="{7492DEC2-F89A-4F38-8F41-7E39CC1F4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63298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520</xdr:row>
      <xdr:rowOff>6603</xdr:rowOff>
    </xdr:from>
    <xdr:ext cx="2141855" cy="0"/>
    <xdr:sp macro="" textlink="">
      <xdr:nvSpPr>
        <xdr:cNvPr id="478" name="Shape 478">
          <a:extLst>
            <a:ext uri="{FF2B5EF4-FFF2-40B4-BE49-F238E27FC236}">
              <a16:creationId xmlns:a16="http://schemas.microsoft.com/office/drawing/2014/main" id="{A94509A1-BBFB-4679-A460-ECAF95245CF5}"/>
            </a:ext>
          </a:extLst>
        </xdr:cNvPr>
        <xdr:cNvSpPr/>
      </xdr:nvSpPr>
      <xdr:spPr>
        <a:xfrm>
          <a:off x="1650745" y="1069990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520</xdr:row>
      <xdr:rowOff>6354</xdr:rowOff>
    </xdr:from>
    <xdr:ext cx="828675" cy="0"/>
    <xdr:sp macro="" textlink="">
      <xdr:nvSpPr>
        <xdr:cNvPr id="479" name="Shape 479">
          <a:extLst>
            <a:ext uri="{FF2B5EF4-FFF2-40B4-BE49-F238E27FC236}">
              <a16:creationId xmlns:a16="http://schemas.microsoft.com/office/drawing/2014/main" id="{C693E7C3-1E02-4426-A9D8-933F67B665E3}"/>
            </a:ext>
          </a:extLst>
        </xdr:cNvPr>
        <xdr:cNvSpPr/>
      </xdr:nvSpPr>
      <xdr:spPr>
        <a:xfrm>
          <a:off x="550037" y="10699877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520</xdr:row>
      <xdr:rowOff>6354</xdr:rowOff>
    </xdr:from>
    <xdr:ext cx="371475" cy="0"/>
    <xdr:sp macro="" textlink="">
      <xdr:nvSpPr>
        <xdr:cNvPr id="480" name="Shape 480">
          <a:extLst>
            <a:ext uri="{FF2B5EF4-FFF2-40B4-BE49-F238E27FC236}">
              <a16:creationId xmlns:a16="http://schemas.microsoft.com/office/drawing/2014/main" id="{F57C146E-2B2F-47D1-B0D2-B161AD068F9F}"/>
            </a:ext>
          </a:extLst>
        </xdr:cNvPr>
        <xdr:cNvSpPr/>
      </xdr:nvSpPr>
      <xdr:spPr>
        <a:xfrm>
          <a:off x="8854440" y="10699877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521</xdr:row>
      <xdr:rowOff>21969</xdr:rowOff>
    </xdr:from>
    <xdr:ext cx="114300" cy="114300"/>
    <xdr:pic>
      <xdr:nvPicPr>
        <xdr:cNvPr id="481" name="image1.png">
          <a:extLst>
            <a:ext uri="{FF2B5EF4-FFF2-40B4-BE49-F238E27FC236}">
              <a16:creationId xmlns:a16="http://schemas.microsoft.com/office/drawing/2014/main" id="{3E3F9BBD-879A-46FF-9F9E-EA30102A0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2125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524</xdr:row>
      <xdr:rowOff>253</xdr:rowOff>
    </xdr:from>
    <xdr:ext cx="2141855" cy="0"/>
    <xdr:sp macro="" textlink="">
      <xdr:nvSpPr>
        <xdr:cNvPr id="482" name="Shape 482">
          <a:extLst>
            <a:ext uri="{FF2B5EF4-FFF2-40B4-BE49-F238E27FC236}">
              <a16:creationId xmlns:a16="http://schemas.microsoft.com/office/drawing/2014/main" id="{E767EAB9-F086-46C9-8B89-2CE019D601F9}"/>
            </a:ext>
          </a:extLst>
        </xdr:cNvPr>
        <xdr:cNvSpPr/>
      </xdr:nvSpPr>
      <xdr:spPr>
        <a:xfrm>
          <a:off x="1668834" y="1078842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524</xdr:row>
      <xdr:rowOff>4</xdr:rowOff>
    </xdr:from>
    <xdr:ext cx="828675" cy="0"/>
    <xdr:sp macro="" textlink="">
      <xdr:nvSpPr>
        <xdr:cNvPr id="483" name="Shape 483">
          <a:extLst>
            <a:ext uri="{FF2B5EF4-FFF2-40B4-BE49-F238E27FC236}">
              <a16:creationId xmlns:a16="http://schemas.microsoft.com/office/drawing/2014/main" id="{822FB346-FF6A-421A-BDB6-C7BDEAC63E50}"/>
            </a:ext>
          </a:extLst>
        </xdr:cNvPr>
        <xdr:cNvSpPr/>
      </xdr:nvSpPr>
      <xdr:spPr>
        <a:xfrm>
          <a:off x="489305" y="10788396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524</xdr:row>
      <xdr:rowOff>4</xdr:rowOff>
    </xdr:from>
    <xdr:ext cx="371475" cy="0"/>
    <xdr:sp macro="" textlink="">
      <xdr:nvSpPr>
        <xdr:cNvPr id="484" name="Shape 484">
          <a:extLst>
            <a:ext uri="{FF2B5EF4-FFF2-40B4-BE49-F238E27FC236}">
              <a16:creationId xmlns:a16="http://schemas.microsoft.com/office/drawing/2014/main" id="{DE61A054-6935-496A-8DC0-5685490DA347}"/>
            </a:ext>
          </a:extLst>
        </xdr:cNvPr>
        <xdr:cNvSpPr/>
      </xdr:nvSpPr>
      <xdr:spPr>
        <a:xfrm>
          <a:off x="8854440" y="10788396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528</xdr:row>
      <xdr:rowOff>6603</xdr:rowOff>
    </xdr:from>
    <xdr:ext cx="2141855" cy="0"/>
    <xdr:sp macro="" textlink="">
      <xdr:nvSpPr>
        <xdr:cNvPr id="485" name="Shape 485">
          <a:extLst>
            <a:ext uri="{FF2B5EF4-FFF2-40B4-BE49-F238E27FC236}">
              <a16:creationId xmlns:a16="http://schemas.microsoft.com/office/drawing/2014/main" id="{AF9604F6-2232-4317-902D-F93DE6768350}"/>
            </a:ext>
          </a:extLst>
        </xdr:cNvPr>
        <xdr:cNvSpPr/>
      </xdr:nvSpPr>
      <xdr:spPr>
        <a:xfrm>
          <a:off x="1650745" y="1087668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527</xdr:row>
      <xdr:rowOff>295914</xdr:rowOff>
    </xdr:from>
    <xdr:ext cx="828675" cy="0"/>
    <xdr:sp macro="" textlink="">
      <xdr:nvSpPr>
        <xdr:cNvPr id="486" name="Shape 486">
          <a:extLst>
            <a:ext uri="{FF2B5EF4-FFF2-40B4-BE49-F238E27FC236}">
              <a16:creationId xmlns:a16="http://schemas.microsoft.com/office/drawing/2014/main" id="{B6DD6340-A4BF-4A48-A83F-EB65338547BF}"/>
            </a:ext>
          </a:extLst>
        </xdr:cNvPr>
        <xdr:cNvSpPr/>
      </xdr:nvSpPr>
      <xdr:spPr>
        <a:xfrm>
          <a:off x="550037" y="10874375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528</xdr:row>
      <xdr:rowOff>6354</xdr:rowOff>
    </xdr:from>
    <xdr:ext cx="371475" cy="0"/>
    <xdr:sp macro="" textlink="">
      <xdr:nvSpPr>
        <xdr:cNvPr id="487" name="Shape 487">
          <a:extLst>
            <a:ext uri="{FF2B5EF4-FFF2-40B4-BE49-F238E27FC236}">
              <a16:creationId xmlns:a16="http://schemas.microsoft.com/office/drawing/2014/main" id="{17C0C196-3234-4596-806D-408C54185E3F}"/>
            </a:ext>
          </a:extLst>
        </xdr:cNvPr>
        <xdr:cNvSpPr/>
      </xdr:nvSpPr>
      <xdr:spPr>
        <a:xfrm>
          <a:off x="8854440" y="10876661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50736</xdr:colOff>
      <xdr:row>530</xdr:row>
      <xdr:rowOff>142743</xdr:rowOff>
    </xdr:from>
    <xdr:ext cx="3531235" cy="13335"/>
    <xdr:sp macro="" textlink="">
      <xdr:nvSpPr>
        <xdr:cNvPr id="488" name="Shape 488">
          <a:extLst>
            <a:ext uri="{FF2B5EF4-FFF2-40B4-BE49-F238E27FC236}">
              <a16:creationId xmlns:a16="http://schemas.microsoft.com/office/drawing/2014/main" id="{2E555A39-0DEA-444C-8D4A-959660859216}"/>
            </a:ext>
          </a:extLst>
        </xdr:cNvPr>
        <xdr:cNvSpPr/>
      </xdr:nvSpPr>
      <xdr:spPr>
        <a:xfrm>
          <a:off x="4394136" y="109375443"/>
          <a:ext cx="3531235" cy="13335"/>
        </a:xfrm>
        <a:custGeom>
          <a:avLst/>
          <a:gdLst/>
          <a:ahLst/>
          <a:cxnLst/>
          <a:rect l="0" t="0" r="0" b="0"/>
          <a:pathLst>
            <a:path w="3531235" h="13335">
              <a:moveTo>
                <a:pt x="2677160" y="12699"/>
              </a:moveTo>
              <a:lnTo>
                <a:pt x="3531235" y="12699"/>
              </a:lnTo>
            </a:path>
            <a:path w="3531235" h="13335">
              <a:moveTo>
                <a:pt x="1784223" y="12953"/>
              </a:moveTo>
              <a:lnTo>
                <a:pt x="2638298" y="12953"/>
              </a:lnTo>
            </a:path>
            <a:path w="3531235" h="13335">
              <a:moveTo>
                <a:pt x="12700" y="0"/>
              </a:moveTo>
              <a:lnTo>
                <a:pt x="841375" y="0"/>
              </a:lnTo>
            </a:path>
            <a:path w="3531235" h="13335">
              <a:moveTo>
                <a:pt x="0" y="12699"/>
              </a:moveTo>
              <a:lnTo>
                <a:pt x="854075" y="12699"/>
              </a:lnTo>
            </a:path>
            <a:path w="3531235" h="13335">
              <a:moveTo>
                <a:pt x="893571" y="12953"/>
              </a:moveTo>
              <a:lnTo>
                <a:pt x="1747646" y="12953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0</xdr:row>
          <xdr:rowOff>114300</xdr:rowOff>
        </xdr:from>
        <xdr:to>
          <xdr:col>0</xdr:col>
          <xdr:colOff>1615440</xdr:colOff>
          <xdr:row>0</xdr:row>
          <xdr:rowOff>548640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8FFB-ACE6-4100-8293-C17CA12E2EFA}">
  <sheetPr codeName="Sheet1"/>
  <dimension ref="A1:K100"/>
  <sheetViews>
    <sheetView tabSelected="1" topLeftCell="A16" zoomScale="80" zoomScaleNormal="80" workbookViewId="0">
      <selection activeCell="A26" sqref="A26"/>
    </sheetView>
  </sheetViews>
  <sheetFormatPr defaultRowHeight="14.4" x14ac:dyDescent="0.3"/>
  <cols>
    <col min="1" max="1" width="36.33203125" bestFit="1" customWidth="1"/>
    <col min="2" max="2" width="26.44140625" bestFit="1" customWidth="1"/>
    <col min="3" max="3" width="26.44140625" customWidth="1"/>
    <col min="4" max="4" width="20.88671875" bestFit="1" customWidth="1"/>
    <col min="6" max="6" width="26.33203125" bestFit="1" customWidth="1"/>
    <col min="7" max="7" width="12.6640625" bestFit="1" customWidth="1"/>
    <col min="8" max="8" width="8.44140625" bestFit="1" customWidth="1"/>
    <col min="9" max="9" width="14.33203125" bestFit="1" customWidth="1"/>
    <col min="10" max="10" width="21.33203125" bestFit="1" customWidth="1"/>
    <col min="11" max="11" width="21.5546875" bestFit="1" customWidth="1"/>
  </cols>
  <sheetData>
    <row r="1" spans="1:11" s="1" customFormat="1" x14ac:dyDescent="0.3">
      <c r="A1" s="1" t="s">
        <v>117</v>
      </c>
      <c r="B1" s="1" t="s">
        <v>265</v>
      </c>
      <c r="F1" t="s">
        <v>266</v>
      </c>
      <c r="G1" t="s">
        <v>267</v>
      </c>
      <c r="H1" t="s">
        <v>138</v>
      </c>
      <c r="I1" t="s">
        <v>139</v>
      </c>
      <c r="J1" s="1" t="s">
        <v>265</v>
      </c>
    </row>
    <row r="2" spans="1:11" x14ac:dyDescent="0.3">
      <c r="A2" t="s">
        <v>232</v>
      </c>
      <c r="B2" s="6">
        <v>82356920007723</v>
      </c>
      <c r="C2" s="6" t="str">
        <f>VLOOKUP(A2,F:J,5,FALSE)</f>
        <v>082356920007723</v>
      </c>
      <c r="D2" s="6">
        <f>B2-C2</f>
        <v>0</v>
      </c>
      <c r="F2" t="s">
        <v>232</v>
      </c>
      <c r="G2">
        <v>7643.84</v>
      </c>
      <c r="H2" t="s">
        <v>233</v>
      </c>
      <c r="I2" t="s">
        <v>234</v>
      </c>
      <c r="J2" t="s">
        <v>274</v>
      </c>
      <c r="K2" s="5">
        <f t="shared" ref="K2:K24" si="0">B2-J2</f>
        <v>0</v>
      </c>
    </row>
    <row r="3" spans="1:11" x14ac:dyDescent="0.3">
      <c r="A3" t="s">
        <v>40</v>
      </c>
      <c r="B3" s="5">
        <v>182512966442675</v>
      </c>
      <c r="C3" s="6" t="str">
        <f t="shared" ref="C3:C24" si="1">VLOOKUP(A3,F:J,5,FALSE)</f>
        <v>182512966442675</v>
      </c>
      <c r="D3" s="6">
        <f t="shared" ref="D3:D24" si="2">B3-C3</f>
        <v>0</v>
      </c>
      <c r="F3" t="s">
        <v>40</v>
      </c>
      <c r="G3">
        <v>1232.8800000000001</v>
      </c>
      <c r="H3" t="s">
        <v>144</v>
      </c>
      <c r="I3" t="s">
        <v>200</v>
      </c>
      <c r="J3" t="s">
        <v>275</v>
      </c>
      <c r="K3" s="5">
        <f t="shared" si="0"/>
        <v>0</v>
      </c>
    </row>
    <row r="4" spans="1:11" x14ac:dyDescent="0.3">
      <c r="A4" t="s">
        <v>30</v>
      </c>
      <c r="B4" s="5">
        <v>82067667632700</v>
      </c>
      <c r="C4" s="6" t="str">
        <f t="shared" si="1"/>
        <v>082067667632700</v>
      </c>
      <c r="D4" s="6">
        <f t="shared" si="2"/>
        <v>0</v>
      </c>
      <c r="F4" t="s">
        <v>30</v>
      </c>
      <c r="G4">
        <v>3287.67</v>
      </c>
      <c r="H4" t="s">
        <v>183</v>
      </c>
      <c r="I4" t="s">
        <v>184</v>
      </c>
      <c r="J4" t="s">
        <v>276</v>
      </c>
      <c r="K4" s="5">
        <f t="shared" si="0"/>
        <v>0</v>
      </c>
    </row>
    <row r="5" spans="1:11" x14ac:dyDescent="0.3">
      <c r="A5" t="s">
        <v>220</v>
      </c>
      <c r="B5" s="5">
        <v>182222121972640</v>
      </c>
      <c r="C5" s="6" t="str">
        <f t="shared" si="1"/>
        <v>182222121972640</v>
      </c>
      <c r="D5" s="6">
        <f t="shared" si="2"/>
        <v>0</v>
      </c>
      <c r="F5" t="s">
        <v>220</v>
      </c>
      <c r="G5">
        <v>3287.67</v>
      </c>
      <c r="H5" t="s">
        <v>153</v>
      </c>
      <c r="I5">
        <v>121972640</v>
      </c>
      <c r="J5" t="s">
        <v>277</v>
      </c>
      <c r="K5" s="5">
        <f t="shared" si="0"/>
        <v>0</v>
      </c>
    </row>
    <row r="6" spans="1:11" x14ac:dyDescent="0.3">
      <c r="A6" t="s">
        <v>102</v>
      </c>
      <c r="B6" s="5">
        <v>82001235768073</v>
      </c>
      <c r="C6" s="6" t="str">
        <f t="shared" si="1"/>
        <v>082001235768073</v>
      </c>
      <c r="D6" s="6">
        <f t="shared" si="2"/>
        <v>0</v>
      </c>
      <c r="F6" t="s">
        <v>102</v>
      </c>
      <c r="G6">
        <v>1643.84</v>
      </c>
      <c r="H6" t="s">
        <v>208</v>
      </c>
      <c r="I6" t="s">
        <v>209</v>
      </c>
      <c r="J6" t="s">
        <v>278</v>
      </c>
      <c r="K6" s="5">
        <f t="shared" si="0"/>
        <v>0</v>
      </c>
    </row>
    <row r="7" spans="1:11" x14ac:dyDescent="0.3">
      <c r="A7" s="2" t="s">
        <v>15</v>
      </c>
      <c r="B7" s="5">
        <v>83088359787970</v>
      </c>
      <c r="C7" s="6" t="e">
        <f t="shared" si="1"/>
        <v>#N/A</v>
      </c>
      <c r="D7" s="6" t="e">
        <f t="shared" si="2"/>
        <v>#N/A</v>
      </c>
      <c r="K7" s="5">
        <f t="shared" si="0"/>
        <v>83088359787970</v>
      </c>
    </row>
    <row r="8" spans="1:11" x14ac:dyDescent="0.3">
      <c r="A8" t="s">
        <v>95</v>
      </c>
      <c r="B8" s="5">
        <v>82080944770176</v>
      </c>
      <c r="C8" s="6" t="str">
        <f t="shared" si="1"/>
        <v>082080944770176</v>
      </c>
      <c r="D8" s="6">
        <f t="shared" si="2"/>
        <v>0</v>
      </c>
      <c r="F8" t="s">
        <v>95</v>
      </c>
      <c r="G8">
        <v>1972.6</v>
      </c>
      <c r="H8" t="s">
        <v>212</v>
      </c>
      <c r="I8" t="s">
        <v>213</v>
      </c>
      <c r="J8" t="s">
        <v>279</v>
      </c>
      <c r="K8" s="5">
        <f t="shared" si="0"/>
        <v>0</v>
      </c>
    </row>
    <row r="9" spans="1:11" x14ac:dyDescent="0.3">
      <c r="A9" t="s">
        <v>145</v>
      </c>
      <c r="B9" s="5">
        <v>32067701393</v>
      </c>
      <c r="C9" s="6" t="str">
        <f t="shared" si="1"/>
        <v>032067701393</v>
      </c>
      <c r="D9" s="6">
        <f t="shared" si="2"/>
        <v>0</v>
      </c>
      <c r="F9" t="s">
        <v>145</v>
      </c>
      <c r="G9">
        <v>986.3</v>
      </c>
      <c r="H9" t="s">
        <v>146</v>
      </c>
      <c r="I9" t="s">
        <v>147</v>
      </c>
      <c r="J9" t="s">
        <v>280</v>
      </c>
      <c r="K9" s="5">
        <f t="shared" si="0"/>
        <v>0</v>
      </c>
    </row>
    <row r="10" spans="1:11" x14ac:dyDescent="0.3">
      <c r="A10" t="s">
        <v>225</v>
      </c>
      <c r="B10" s="5">
        <v>182512961043726</v>
      </c>
      <c r="C10" s="6" t="str">
        <f t="shared" si="1"/>
        <v>182512961043726</v>
      </c>
      <c r="D10" s="6">
        <f t="shared" si="2"/>
        <v>0</v>
      </c>
      <c r="F10" t="s">
        <v>225</v>
      </c>
      <c r="G10">
        <v>1972.6</v>
      </c>
      <c r="H10" t="s">
        <v>144</v>
      </c>
      <c r="I10" t="s">
        <v>226</v>
      </c>
      <c r="J10" t="s">
        <v>281</v>
      </c>
      <c r="K10" s="5">
        <f t="shared" si="0"/>
        <v>0</v>
      </c>
    </row>
    <row r="11" spans="1:11" x14ac:dyDescent="0.3">
      <c r="A11" s="2" t="s">
        <v>50</v>
      </c>
      <c r="B11" s="5">
        <v>633000128234671</v>
      </c>
      <c r="C11" s="6" t="e">
        <f t="shared" si="1"/>
        <v>#N/A</v>
      </c>
      <c r="D11" s="6" t="e">
        <f t="shared" si="2"/>
        <v>#N/A</v>
      </c>
      <c r="K11" s="5">
        <f t="shared" si="0"/>
        <v>633000128234671</v>
      </c>
    </row>
    <row r="12" spans="1:11" x14ac:dyDescent="0.3">
      <c r="A12" t="s">
        <v>34</v>
      </c>
      <c r="B12" s="5">
        <v>6224310250796</v>
      </c>
      <c r="C12" s="6" t="str">
        <f t="shared" si="1"/>
        <v>06224310250796</v>
      </c>
      <c r="D12" s="6">
        <f t="shared" si="2"/>
        <v>0</v>
      </c>
      <c r="F12" t="s">
        <v>34</v>
      </c>
      <c r="G12">
        <v>1972.6</v>
      </c>
      <c r="H12" t="s">
        <v>187</v>
      </c>
      <c r="I12" t="s">
        <v>188</v>
      </c>
      <c r="J12" t="s">
        <v>282</v>
      </c>
      <c r="K12" s="5">
        <f t="shared" si="0"/>
        <v>0</v>
      </c>
    </row>
    <row r="13" spans="1:11" x14ac:dyDescent="0.3">
      <c r="A13" t="s">
        <v>214</v>
      </c>
      <c r="B13" s="5">
        <v>182512969313683</v>
      </c>
      <c r="C13" s="6" t="str">
        <f t="shared" si="1"/>
        <v>182512969313683</v>
      </c>
      <c r="D13" s="6">
        <f t="shared" si="2"/>
        <v>0</v>
      </c>
      <c r="F13" t="s">
        <v>214</v>
      </c>
      <c r="G13">
        <v>1315.07</v>
      </c>
      <c r="H13" t="s">
        <v>144</v>
      </c>
      <c r="I13" t="s">
        <v>215</v>
      </c>
      <c r="J13" t="s">
        <v>283</v>
      </c>
      <c r="K13" s="5">
        <f t="shared" si="0"/>
        <v>0</v>
      </c>
    </row>
    <row r="14" spans="1:11" x14ac:dyDescent="0.3">
      <c r="A14" t="s">
        <v>38</v>
      </c>
      <c r="B14" s="5">
        <v>733089728345</v>
      </c>
      <c r="C14" s="6" t="str">
        <f t="shared" si="1"/>
        <v>733089728345</v>
      </c>
      <c r="D14" s="6">
        <f t="shared" si="2"/>
        <v>0</v>
      </c>
      <c r="F14" t="s">
        <v>38</v>
      </c>
      <c r="G14">
        <v>1315.07</v>
      </c>
      <c r="H14" t="s">
        <v>196</v>
      </c>
      <c r="I14" t="s">
        <v>197</v>
      </c>
      <c r="J14" t="s">
        <v>284</v>
      </c>
      <c r="K14" s="5">
        <f t="shared" si="0"/>
        <v>0</v>
      </c>
    </row>
    <row r="15" spans="1:11" x14ac:dyDescent="0.3">
      <c r="A15" s="2" t="s">
        <v>105</v>
      </c>
      <c r="B15" s="5">
        <v>182182003547619</v>
      </c>
      <c r="C15" s="6" t="e">
        <f t="shared" si="1"/>
        <v>#N/A</v>
      </c>
      <c r="D15" s="6" t="e">
        <f t="shared" si="2"/>
        <v>#N/A</v>
      </c>
      <c r="K15" s="5">
        <f t="shared" si="0"/>
        <v>182182003547619</v>
      </c>
    </row>
    <row r="16" spans="1:11" x14ac:dyDescent="0.3">
      <c r="A16" s="2" t="s">
        <v>252</v>
      </c>
      <c r="B16" s="5">
        <v>112879452932773</v>
      </c>
      <c r="C16" s="6" t="e">
        <f t="shared" si="1"/>
        <v>#N/A</v>
      </c>
      <c r="D16" s="6" t="e">
        <f t="shared" si="2"/>
        <v>#N/A</v>
      </c>
      <c r="K16" s="5">
        <f t="shared" si="0"/>
        <v>112879452932773</v>
      </c>
    </row>
    <row r="17" spans="1:11" x14ac:dyDescent="0.3">
      <c r="A17" t="s">
        <v>32</v>
      </c>
      <c r="B17" s="5">
        <v>332003553544235</v>
      </c>
      <c r="C17" s="6" t="str">
        <f t="shared" si="1"/>
        <v>332003553544235</v>
      </c>
      <c r="D17" s="6">
        <f t="shared" si="2"/>
        <v>0</v>
      </c>
      <c r="F17" t="s">
        <v>32</v>
      </c>
      <c r="G17">
        <v>5079.45</v>
      </c>
      <c r="H17" t="s">
        <v>185</v>
      </c>
      <c r="I17" t="s">
        <v>186</v>
      </c>
      <c r="J17" t="s">
        <v>285</v>
      </c>
      <c r="K17" s="5">
        <f t="shared" si="0"/>
        <v>0</v>
      </c>
    </row>
    <row r="18" spans="1:11" x14ac:dyDescent="0.3">
      <c r="A18" s="2" t="s">
        <v>46</v>
      </c>
      <c r="B18" s="5">
        <v>6201628045002</v>
      </c>
      <c r="C18" s="6" t="e">
        <f t="shared" si="1"/>
        <v>#N/A</v>
      </c>
      <c r="D18" s="6" t="e">
        <f t="shared" si="2"/>
        <v>#N/A</v>
      </c>
      <c r="F18" t="s">
        <v>91</v>
      </c>
      <c r="G18">
        <v>789.04</v>
      </c>
      <c r="H18" t="s">
        <v>206</v>
      </c>
      <c r="I18" t="s">
        <v>207</v>
      </c>
      <c r="J18" t="s">
        <v>286</v>
      </c>
      <c r="K18" s="5">
        <f t="shared" si="0"/>
        <v>0</v>
      </c>
    </row>
    <row r="19" spans="1:11" x14ac:dyDescent="0.3">
      <c r="A19" s="2" t="s">
        <v>11</v>
      </c>
      <c r="B19" s="5">
        <v>12878501117725</v>
      </c>
      <c r="C19" s="6" t="e">
        <f t="shared" si="1"/>
        <v>#N/A</v>
      </c>
      <c r="D19" s="6" t="e">
        <f t="shared" si="2"/>
        <v>#N/A</v>
      </c>
      <c r="K19" s="5">
        <f t="shared" si="0"/>
        <v>12878501117725</v>
      </c>
    </row>
    <row r="20" spans="1:11" x14ac:dyDescent="0.3">
      <c r="A20" t="s">
        <v>134</v>
      </c>
      <c r="B20" s="5">
        <v>732083628517</v>
      </c>
      <c r="C20" s="6" t="str">
        <f t="shared" si="1"/>
        <v>732083628517</v>
      </c>
      <c r="D20" s="6">
        <f t="shared" si="2"/>
        <v>0</v>
      </c>
      <c r="F20" t="s">
        <v>134</v>
      </c>
      <c r="G20">
        <v>2465.75</v>
      </c>
      <c r="H20" t="s">
        <v>241</v>
      </c>
      <c r="I20" t="s">
        <v>242</v>
      </c>
      <c r="J20" t="s">
        <v>287</v>
      </c>
      <c r="K20" s="5">
        <f t="shared" si="0"/>
        <v>0</v>
      </c>
    </row>
    <row r="21" spans="1:11" x14ac:dyDescent="0.3">
      <c r="A21" t="s">
        <v>108</v>
      </c>
      <c r="B21" s="5">
        <v>6203310897263</v>
      </c>
      <c r="C21" s="6" t="str">
        <f t="shared" si="1"/>
        <v>06203310897263</v>
      </c>
      <c r="D21" s="6">
        <f t="shared" si="2"/>
        <v>0</v>
      </c>
      <c r="F21" t="s">
        <v>108</v>
      </c>
      <c r="G21">
        <v>1528.77</v>
      </c>
      <c r="H21" t="s">
        <v>216</v>
      </c>
      <c r="I21" t="s">
        <v>217</v>
      </c>
      <c r="J21" t="s">
        <v>288</v>
      </c>
      <c r="K21" s="5">
        <f t="shared" si="0"/>
        <v>0</v>
      </c>
    </row>
    <row r="22" spans="1:11" x14ac:dyDescent="0.3">
      <c r="A22" s="2" t="s">
        <v>131</v>
      </c>
      <c r="B22" s="5">
        <v>733048559442</v>
      </c>
      <c r="C22" s="6" t="e">
        <f t="shared" si="1"/>
        <v>#N/A</v>
      </c>
      <c r="D22" s="6" t="e">
        <f t="shared" si="2"/>
        <v>#N/A</v>
      </c>
      <c r="K22" s="5">
        <f t="shared" si="0"/>
        <v>733048559442</v>
      </c>
    </row>
    <row r="23" spans="1:11" x14ac:dyDescent="0.3">
      <c r="A23" s="2" t="s">
        <v>253</v>
      </c>
      <c r="B23" s="5">
        <v>32274234134</v>
      </c>
      <c r="C23" s="6" t="e">
        <f t="shared" si="1"/>
        <v>#N/A</v>
      </c>
      <c r="D23" s="6" t="e">
        <f t="shared" si="2"/>
        <v>#N/A</v>
      </c>
      <c r="K23" s="5">
        <f t="shared" si="0"/>
        <v>32274234134</v>
      </c>
    </row>
    <row r="24" spans="1:11" x14ac:dyDescent="0.3">
      <c r="A24" t="s">
        <v>137</v>
      </c>
      <c r="B24" s="5">
        <v>112879438684822</v>
      </c>
      <c r="C24" s="6" t="str">
        <f t="shared" si="1"/>
        <v>112879438684822</v>
      </c>
      <c r="D24" s="6">
        <f t="shared" si="2"/>
        <v>0</v>
      </c>
      <c r="F24" t="s">
        <v>137</v>
      </c>
      <c r="G24">
        <v>2465.75</v>
      </c>
      <c r="H24" t="s">
        <v>198</v>
      </c>
      <c r="I24" t="s">
        <v>246</v>
      </c>
      <c r="J24" t="s">
        <v>289</v>
      </c>
      <c r="K24" s="5">
        <f t="shared" si="0"/>
        <v>0</v>
      </c>
    </row>
    <row r="25" spans="1:11" x14ac:dyDescent="0.3">
      <c r="A25" s="2" t="s">
        <v>189</v>
      </c>
      <c r="B25" s="5">
        <v>6412710497155</v>
      </c>
      <c r="C25" s="6" t="str">
        <f t="shared" ref="C25:C56" si="3">VLOOKUP(A25,F:J,5,FALSE)</f>
        <v>06412710497155</v>
      </c>
      <c r="D25" s="6">
        <f t="shared" ref="D25:D58" si="4">B25-C25</f>
        <v>0</v>
      </c>
      <c r="F25" t="s">
        <v>129</v>
      </c>
      <c r="G25">
        <v>51500</v>
      </c>
      <c r="H25" t="s">
        <v>149</v>
      </c>
      <c r="I25" t="s">
        <v>221</v>
      </c>
      <c r="J25" t="s">
        <v>290</v>
      </c>
      <c r="K25" s="5" t="e">
        <f>#REF!-J25</f>
        <v>#REF!</v>
      </c>
    </row>
    <row r="26" spans="1:11" x14ac:dyDescent="0.3">
      <c r="A26" s="3" t="s">
        <v>160</v>
      </c>
      <c r="B26" s="5">
        <v>6226510520606</v>
      </c>
      <c r="C26" s="6" t="str">
        <f t="shared" si="3"/>
        <v>06226510520606</v>
      </c>
      <c r="D26" s="6">
        <f t="shared" si="4"/>
        <v>0</v>
      </c>
      <c r="F26" t="s">
        <v>189</v>
      </c>
      <c r="G26">
        <v>3821.92</v>
      </c>
      <c r="H26" t="s">
        <v>190</v>
      </c>
      <c r="I26" t="s">
        <v>191</v>
      </c>
      <c r="J26" t="s">
        <v>291</v>
      </c>
      <c r="K26" s="5" t="e">
        <f>#REF!-J26</f>
        <v>#REF!</v>
      </c>
    </row>
    <row r="27" spans="1:11" x14ac:dyDescent="0.3">
      <c r="A27" t="s">
        <v>101</v>
      </c>
      <c r="B27" s="5">
        <v>6222311523910</v>
      </c>
      <c r="C27" s="6" t="str">
        <f t="shared" si="3"/>
        <v>06222311523910</v>
      </c>
      <c r="D27" s="6">
        <f t="shared" si="4"/>
        <v>0</v>
      </c>
      <c r="F27" t="s">
        <v>101</v>
      </c>
      <c r="G27">
        <v>3057.53</v>
      </c>
      <c r="H27" t="s">
        <v>172</v>
      </c>
      <c r="I27" t="s">
        <v>203</v>
      </c>
      <c r="J27" t="s">
        <v>292</v>
      </c>
      <c r="K27" s="5">
        <f>B25-J27</f>
        <v>190398973245</v>
      </c>
    </row>
    <row r="28" spans="1:11" x14ac:dyDescent="0.3">
      <c r="A28" t="s">
        <v>36</v>
      </c>
      <c r="B28" s="5">
        <v>332003554318694</v>
      </c>
      <c r="C28" s="6" t="str">
        <f t="shared" si="3"/>
        <v>332003554318694</v>
      </c>
      <c r="D28" s="6">
        <f t="shared" si="4"/>
        <v>0</v>
      </c>
      <c r="F28" t="s">
        <v>36</v>
      </c>
      <c r="G28">
        <v>6115.07</v>
      </c>
      <c r="H28" t="s">
        <v>185</v>
      </c>
      <c r="I28" t="s">
        <v>193</v>
      </c>
      <c r="J28" t="s">
        <v>293</v>
      </c>
      <c r="K28" s="5">
        <f>B26-J28</f>
        <v>-325777043798088</v>
      </c>
    </row>
    <row r="29" spans="1:11" x14ac:dyDescent="0.3">
      <c r="A29" s="2" t="s">
        <v>31</v>
      </c>
      <c r="B29" s="5">
        <v>332003552832323</v>
      </c>
      <c r="C29" s="6" t="e">
        <f t="shared" si="3"/>
        <v>#N/A</v>
      </c>
      <c r="D29" s="6" t="e">
        <f t="shared" si="4"/>
        <v>#N/A</v>
      </c>
      <c r="F29" t="s">
        <v>171</v>
      </c>
      <c r="G29">
        <v>1146.58</v>
      </c>
      <c r="H29" t="s">
        <v>172</v>
      </c>
      <c r="I29" t="s">
        <v>173</v>
      </c>
      <c r="J29" t="s">
        <v>294</v>
      </c>
      <c r="K29" s="5">
        <f>B27-J29</f>
        <v>489164</v>
      </c>
    </row>
    <row r="30" spans="1:11" x14ac:dyDescent="0.3">
      <c r="A30" t="s">
        <v>171</v>
      </c>
      <c r="B30" s="5">
        <v>6222311034746</v>
      </c>
      <c r="C30" s="6" t="str">
        <f t="shared" si="3"/>
        <v>06222311034746</v>
      </c>
      <c r="D30" s="6">
        <f t="shared" si="4"/>
        <v>0</v>
      </c>
      <c r="F30" t="s">
        <v>87</v>
      </c>
      <c r="G30">
        <v>764.38</v>
      </c>
      <c r="H30" t="s">
        <v>172</v>
      </c>
      <c r="I30" t="s">
        <v>173</v>
      </c>
      <c r="J30" t="s">
        <v>294</v>
      </c>
      <c r="K30" s="5">
        <f>B28-J30</f>
        <v>325781243283948</v>
      </c>
    </row>
    <row r="31" spans="1:11" x14ac:dyDescent="0.3">
      <c r="A31" t="s">
        <v>87</v>
      </c>
      <c r="B31" s="5">
        <v>6222311034746</v>
      </c>
      <c r="C31" s="6" t="str">
        <f t="shared" si="3"/>
        <v>06222311034746</v>
      </c>
      <c r="D31" s="6">
        <f t="shared" si="4"/>
        <v>0</v>
      </c>
      <c r="F31" t="s">
        <v>126</v>
      </c>
      <c r="G31">
        <v>7643.84</v>
      </c>
      <c r="H31" t="s">
        <v>227</v>
      </c>
      <c r="I31" t="s">
        <v>228</v>
      </c>
      <c r="J31" t="s">
        <v>295</v>
      </c>
      <c r="K31" s="5" t="e">
        <f>#REF!-J31</f>
        <v>#REF!</v>
      </c>
    </row>
    <row r="32" spans="1:11" x14ac:dyDescent="0.3">
      <c r="A32" t="s">
        <v>126</v>
      </c>
      <c r="B32" s="5">
        <v>732036740661</v>
      </c>
      <c r="C32" s="6" t="str">
        <f t="shared" si="3"/>
        <v>732036740661</v>
      </c>
      <c r="D32" s="6">
        <f t="shared" si="4"/>
        <v>0</v>
      </c>
      <c r="F32" t="s">
        <v>28</v>
      </c>
      <c r="G32">
        <v>13376.71</v>
      </c>
      <c r="H32" t="s">
        <v>179</v>
      </c>
      <c r="I32" t="s">
        <v>180</v>
      </c>
      <c r="J32" t="s">
        <v>296</v>
      </c>
      <c r="K32" s="5">
        <f t="shared" ref="K32:K47" si="5">B29-J32</f>
        <v>331271409288377</v>
      </c>
    </row>
    <row r="33" spans="1:11" x14ac:dyDescent="0.3">
      <c r="A33" t="s">
        <v>8</v>
      </c>
      <c r="B33" s="5">
        <v>182512963324603</v>
      </c>
      <c r="C33" s="6" t="str">
        <f t="shared" si="3"/>
        <v>182512963324603</v>
      </c>
      <c r="D33" s="6">
        <f t="shared" si="4"/>
        <v>0</v>
      </c>
      <c r="F33" t="s">
        <v>240</v>
      </c>
      <c r="G33">
        <v>382.19</v>
      </c>
      <c r="H33" t="s">
        <v>164</v>
      </c>
      <c r="I33" t="s">
        <v>165</v>
      </c>
      <c r="J33" t="s">
        <v>297</v>
      </c>
      <c r="K33" s="5">
        <f t="shared" si="5"/>
        <v>-6184016518446</v>
      </c>
    </row>
    <row r="34" spans="1:11" x14ac:dyDescent="0.3">
      <c r="A34" s="2" t="s">
        <v>254</v>
      </c>
      <c r="B34" s="5">
        <v>6214010343166</v>
      </c>
      <c r="C34" s="6" t="e">
        <f t="shared" si="3"/>
        <v>#N/A</v>
      </c>
      <c r="D34" s="6" t="e">
        <f t="shared" si="4"/>
        <v>#N/A</v>
      </c>
      <c r="F34" t="s">
        <v>235</v>
      </c>
      <c r="G34">
        <v>3287.67</v>
      </c>
      <c r="H34" t="s">
        <v>163</v>
      </c>
      <c r="I34" t="s">
        <v>236</v>
      </c>
      <c r="J34" t="s">
        <v>298</v>
      </c>
      <c r="K34" s="5">
        <f t="shared" si="5"/>
        <v>-1899396316236</v>
      </c>
    </row>
    <row r="35" spans="1:11" x14ac:dyDescent="0.3">
      <c r="A35" t="s">
        <v>240</v>
      </c>
      <c r="B35" s="5">
        <v>12406327553192</v>
      </c>
      <c r="C35" s="6" t="str">
        <f t="shared" si="3"/>
        <v>012406327553192</v>
      </c>
      <c r="D35" s="6">
        <f t="shared" si="4"/>
        <v>0</v>
      </c>
      <c r="F35" t="s">
        <v>113</v>
      </c>
      <c r="G35">
        <v>2958.9</v>
      </c>
      <c r="H35" t="s">
        <v>154</v>
      </c>
      <c r="I35" t="s">
        <v>268</v>
      </c>
      <c r="J35" t="s">
        <v>299</v>
      </c>
      <c r="K35" s="5">
        <f t="shared" si="5"/>
        <v>-5467983790196</v>
      </c>
    </row>
    <row r="36" spans="1:11" x14ac:dyDescent="0.3">
      <c r="A36" t="s">
        <v>235</v>
      </c>
      <c r="B36" s="5">
        <v>8121707350982</v>
      </c>
      <c r="C36" s="6" t="str">
        <f t="shared" si="3"/>
        <v>8121707350982</v>
      </c>
      <c r="D36" s="6">
        <f t="shared" si="4"/>
        <v>0</v>
      </c>
      <c r="F36" t="s">
        <v>237</v>
      </c>
      <c r="G36">
        <v>287.67</v>
      </c>
      <c r="H36" t="s">
        <v>238</v>
      </c>
      <c r="I36" t="s">
        <v>239</v>
      </c>
      <c r="J36" t="s">
        <v>300</v>
      </c>
      <c r="K36" s="5">
        <f t="shared" si="5"/>
        <v>100036137811679</v>
      </c>
    </row>
    <row r="37" spans="1:11" x14ac:dyDescent="0.3">
      <c r="A37" s="2" t="s">
        <v>10</v>
      </c>
      <c r="B37" s="5">
        <v>182512970305967</v>
      </c>
      <c r="C37" s="6" t="e">
        <f t="shared" si="3"/>
        <v>#N/A</v>
      </c>
      <c r="D37" s="6" t="e">
        <f t="shared" si="4"/>
        <v>#N/A</v>
      </c>
      <c r="F37" t="s">
        <v>41</v>
      </c>
      <c r="G37">
        <v>4109.59</v>
      </c>
      <c r="H37" t="s">
        <v>201</v>
      </c>
      <c r="I37" t="s">
        <v>202</v>
      </c>
      <c r="J37" t="s">
        <v>301</v>
      </c>
      <c r="K37" s="5">
        <f t="shared" si="5"/>
        <v>-75843588852290</v>
      </c>
    </row>
    <row r="38" spans="1:11" x14ac:dyDescent="0.3">
      <c r="A38" s="2" t="s">
        <v>255</v>
      </c>
      <c r="B38" s="5">
        <v>182512970305967</v>
      </c>
      <c r="C38" s="6" t="e">
        <f t="shared" si="3"/>
        <v>#N/A</v>
      </c>
      <c r="D38" s="6" t="e">
        <f t="shared" si="4"/>
        <v>#N/A</v>
      </c>
      <c r="F38" t="s">
        <v>222</v>
      </c>
      <c r="G38">
        <v>986.3</v>
      </c>
      <c r="H38" t="s">
        <v>223</v>
      </c>
      <c r="I38" t="s">
        <v>224</v>
      </c>
      <c r="J38" t="s">
        <v>302</v>
      </c>
      <c r="K38" s="5">
        <f t="shared" si="5"/>
        <v>-70356428726067</v>
      </c>
    </row>
    <row r="39" spans="1:11" x14ac:dyDescent="0.3">
      <c r="A39" s="2" t="s">
        <v>48</v>
      </c>
      <c r="B39" s="5">
        <v>6294823586774</v>
      </c>
      <c r="C39" s="6" t="e">
        <f t="shared" si="3"/>
        <v>#N/A</v>
      </c>
      <c r="D39" s="6" t="e">
        <f t="shared" si="4"/>
        <v>#N/A</v>
      </c>
      <c r="F39" t="s">
        <v>177</v>
      </c>
      <c r="G39">
        <v>7261.64</v>
      </c>
      <c r="H39" t="s">
        <v>144</v>
      </c>
      <c r="I39" t="s">
        <v>178</v>
      </c>
      <c r="J39" t="s">
        <v>303</v>
      </c>
      <c r="K39" s="5">
        <f t="shared" si="5"/>
        <v>-174391264218439</v>
      </c>
    </row>
    <row r="40" spans="1:11" x14ac:dyDescent="0.3">
      <c r="A40" t="s">
        <v>113</v>
      </c>
      <c r="B40" s="5">
        <v>6200020530857</v>
      </c>
      <c r="C40" s="6" t="str">
        <f t="shared" si="3"/>
        <v>06200020530857</v>
      </c>
      <c r="D40" s="6">
        <f t="shared" si="4"/>
        <v>0</v>
      </c>
      <c r="F40" t="s">
        <v>17</v>
      </c>
      <c r="G40">
        <v>3945.21</v>
      </c>
      <c r="H40" t="s">
        <v>166</v>
      </c>
      <c r="I40" t="s">
        <v>167</v>
      </c>
      <c r="J40" t="s">
        <v>304</v>
      </c>
      <c r="K40" s="5">
        <f t="shared" si="5"/>
        <v>170122493919891</v>
      </c>
    </row>
    <row r="41" spans="1:11" x14ac:dyDescent="0.3">
      <c r="A41" t="s">
        <v>237</v>
      </c>
      <c r="B41" s="5">
        <v>82476825512924</v>
      </c>
      <c r="C41" s="6" t="str">
        <f t="shared" si="3"/>
        <v>082476825512924</v>
      </c>
      <c r="D41" s="6">
        <f t="shared" si="4"/>
        <v>0</v>
      </c>
      <c r="F41" t="s">
        <v>49</v>
      </c>
      <c r="G41">
        <v>764.38</v>
      </c>
      <c r="H41" t="s">
        <v>210</v>
      </c>
      <c r="I41" t="s">
        <v>211</v>
      </c>
      <c r="J41" t="s">
        <v>305</v>
      </c>
      <c r="K41" s="5">
        <f t="shared" si="5"/>
        <v>-450487140733128</v>
      </c>
    </row>
    <row r="42" spans="1:11" x14ac:dyDescent="0.3">
      <c r="A42" s="2" t="s">
        <v>5</v>
      </c>
      <c r="B42" s="5">
        <v>182222116793431</v>
      </c>
      <c r="C42" s="6" t="e">
        <f t="shared" si="3"/>
        <v>#N/A</v>
      </c>
      <c r="D42" s="6" t="e">
        <f t="shared" si="4"/>
        <v>#N/A</v>
      </c>
      <c r="F42" t="s">
        <v>205</v>
      </c>
      <c r="G42">
        <v>7561.64</v>
      </c>
      <c r="J42" t="s">
        <v>306</v>
      </c>
      <c r="K42" s="5" t="e">
        <f t="shared" si="5"/>
        <v>#VALUE!</v>
      </c>
    </row>
    <row r="43" spans="1:11" x14ac:dyDescent="0.3">
      <c r="A43" t="s">
        <v>41</v>
      </c>
      <c r="B43" s="5">
        <v>82057599195456</v>
      </c>
      <c r="C43" s="6" t="str">
        <f t="shared" si="3"/>
        <v>082057599195456</v>
      </c>
      <c r="D43" s="6">
        <f t="shared" si="4"/>
        <v>0</v>
      </c>
      <c r="F43" t="s">
        <v>157</v>
      </c>
      <c r="G43">
        <v>1578.08</v>
      </c>
      <c r="H43" t="s">
        <v>158</v>
      </c>
      <c r="I43" t="s">
        <v>159</v>
      </c>
      <c r="J43" t="s">
        <v>307</v>
      </c>
      <c r="K43" s="5">
        <f t="shared" si="5"/>
        <v>-490816037</v>
      </c>
    </row>
    <row r="44" spans="1:11" x14ac:dyDescent="0.3">
      <c r="A44" s="2" t="s">
        <v>169</v>
      </c>
      <c r="B44" s="5">
        <v>182182006187330</v>
      </c>
      <c r="C44" s="6" t="e">
        <f t="shared" si="3"/>
        <v>#N/A</v>
      </c>
      <c r="D44" s="6" t="e">
        <f t="shared" si="4"/>
        <v>#N/A</v>
      </c>
      <c r="F44" t="s">
        <v>6</v>
      </c>
      <c r="G44">
        <v>677.26</v>
      </c>
      <c r="H44" t="s">
        <v>154</v>
      </c>
      <c r="I44" t="s">
        <v>155</v>
      </c>
      <c r="J44" t="s">
        <v>308</v>
      </c>
      <c r="K44" s="5">
        <f t="shared" si="5"/>
        <v>76276806246936</v>
      </c>
    </row>
    <row r="45" spans="1:11" x14ac:dyDescent="0.3">
      <c r="A45" s="2" t="s">
        <v>61</v>
      </c>
      <c r="B45" s="5">
        <v>6269247717371</v>
      </c>
      <c r="C45" s="6" t="e">
        <f t="shared" si="3"/>
        <v>#N/A</v>
      </c>
      <c r="D45" s="6" t="e">
        <f t="shared" si="4"/>
        <v>#N/A</v>
      </c>
      <c r="F45" t="s">
        <v>160</v>
      </c>
      <c r="G45">
        <v>3821.92</v>
      </c>
      <c r="H45" t="s">
        <v>161</v>
      </c>
      <c r="I45" t="s">
        <v>162</v>
      </c>
      <c r="J45" t="s">
        <v>309</v>
      </c>
      <c r="K45" s="5">
        <f t="shared" si="5"/>
        <v>175995606272825</v>
      </c>
    </row>
    <row r="46" spans="1:11" x14ac:dyDescent="0.3">
      <c r="A46" t="s">
        <v>222</v>
      </c>
      <c r="B46" s="5">
        <v>82762756279259</v>
      </c>
      <c r="C46" s="6" t="str">
        <f t="shared" si="3"/>
        <v>082762756279259</v>
      </c>
      <c r="D46" s="6">
        <f t="shared" si="4"/>
        <v>0</v>
      </c>
      <c r="F46" t="s">
        <v>29</v>
      </c>
      <c r="G46">
        <v>7643.84</v>
      </c>
      <c r="H46" t="s">
        <v>181</v>
      </c>
      <c r="I46" t="s">
        <v>182</v>
      </c>
      <c r="J46" t="s">
        <v>310</v>
      </c>
      <c r="K46" s="5">
        <f t="shared" si="5"/>
        <v>82025063086695</v>
      </c>
    </row>
    <row r="47" spans="1:11" x14ac:dyDescent="0.3">
      <c r="A47" s="2" t="s">
        <v>12</v>
      </c>
      <c r="B47" s="5">
        <v>6716732156549</v>
      </c>
      <c r="C47" s="6" t="e">
        <f t="shared" si="3"/>
        <v>#N/A</v>
      </c>
      <c r="D47" s="6" t="e">
        <f t="shared" si="4"/>
        <v>#N/A</v>
      </c>
      <c r="F47" t="s">
        <v>98</v>
      </c>
      <c r="G47">
        <v>2876.71</v>
      </c>
      <c r="H47" t="s">
        <v>198</v>
      </c>
      <c r="I47" t="s">
        <v>218</v>
      </c>
      <c r="J47" t="s">
        <v>311</v>
      </c>
      <c r="K47" s="5">
        <f t="shared" si="5"/>
        <v>69302900681247</v>
      </c>
    </row>
    <row r="48" spans="1:11" x14ac:dyDescent="0.3">
      <c r="A48" s="2" t="s">
        <v>14</v>
      </c>
      <c r="B48" s="5">
        <v>83088423566735</v>
      </c>
      <c r="C48" s="6" t="e">
        <f t="shared" si="3"/>
        <v>#N/A</v>
      </c>
      <c r="D48" s="6" t="e">
        <f t="shared" si="4"/>
        <v>#N/A</v>
      </c>
      <c r="F48" t="s">
        <v>258</v>
      </c>
      <c r="G48">
        <v>1324.93</v>
      </c>
      <c r="H48" t="s">
        <v>144</v>
      </c>
      <c r="I48" t="s">
        <v>269</v>
      </c>
      <c r="J48" t="s">
        <v>312</v>
      </c>
      <c r="K48" s="5" t="e">
        <f>#REF!-J48</f>
        <v>#REF!</v>
      </c>
    </row>
    <row r="49" spans="1:11" x14ac:dyDescent="0.3">
      <c r="A49" s="2" t="s">
        <v>143</v>
      </c>
      <c r="B49" s="5">
        <v>182512961534336</v>
      </c>
      <c r="C49" s="6" t="e">
        <f t="shared" si="3"/>
        <v>#N/A</v>
      </c>
      <c r="D49" s="6" t="e">
        <f t="shared" si="4"/>
        <v>#N/A</v>
      </c>
      <c r="F49" t="s">
        <v>151</v>
      </c>
      <c r="G49">
        <v>1972.6</v>
      </c>
      <c r="H49" t="s">
        <v>149</v>
      </c>
      <c r="I49" t="s">
        <v>152</v>
      </c>
      <c r="J49" t="s">
        <v>313</v>
      </c>
      <c r="K49" s="5">
        <f t="shared" ref="K49:K56" si="6">B45-J49</f>
        <v>-6022151780934</v>
      </c>
    </row>
    <row r="50" spans="1:11" x14ac:dyDescent="0.3">
      <c r="A50" s="2" t="s">
        <v>104</v>
      </c>
      <c r="B50" s="5">
        <v>1.8251200097156899E+17</v>
      </c>
      <c r="C50" s="6" t="e">
        <f t="shared" si="3"/>
        <v>#N/A</v>
      </c>
      <c r="D50" s="6" t="e">
        <f t="shared" si="4"/>
        <v>#N/A</v>
      </c>
      <c r="F50" t="s">
        <v>35</v>
      </c>
      <c r="G50">
        <v>5810.96</v>
      </c>
      <c r="H50" t="s">
        <v>168</v>
      </c>
      <c r="I50" t="s">
        <v>192</v>
      </c>
      <c r="J50" t="s">
        <v>314</v>
      </c>
      <c r="K50" s="5">
        <f t="shared" si="6"/>
        <v>76548745914446</v>
      </c>
    </row>
    <row r="51" spans="1:11" x14ac:dyDescent="0.3">
      <c r="A51" t="s">
        <v>17</v>
      </c>
      <c r="B51" s="5">
        <v>12390476386076</v>
      </c>
      <c r="C51" s="6" t="str">
        <f t="shared" si="3"/>
        <v>012390476386076</v>
      </c>
      <c r="D51" s="6">
        <f t="shared" si="4"/>
        <v>0</v>
      </c>
      <c r="F51" t="s">
        <v>88</v>
      </c>
      <c r="G51">
        <v>764.38</v>
      </c>
      <c r="H51" t="s">
        <v>201</v>
      </c>
      <c r="I51" t="s">
        <v>204</v>
      </c>
      <c r="J51" t="s">
        <v>315</v>
      </c>
      <c r="K51" s="5">
        <f t="shared" si="6"/>
        <v>-75340686731196</v>
      </c>
    </row>
    <row r="52" spans="1:11" x14ac:dyDescent="0.3">
      <c r="A52" s="2" t="s">
        <v>4</v>
      </c>
      <c r="B52" s="5">
        <v>82124232891500</v>
      </c>
      <c r="C52" s="6" t="e">
        <f t="shared" si="3"/>
        <v>#N/A</v>
      </c>
      <c r="D52" s="6" t="e">
        <f t="shared" si="4"/>
        <v>#N/A</v>
      </c>
      <c r="F52" t="s">
        <v>136</v>
      </c>
      <c r="G52">
        <v>4931.51</v>
      </c>
      <c r="H52" t="s">
        <v>170</v>
      </c>
      <c r="I52" t="s">
        <v>270</v>
      </c>
      <c r="J52" t="s">
        <v>316</v>
      </c>
      <c r="K52" s="5">
        <f t="shared" si="6"/>
        <v>82906241438322</v>
      </c>
    </row>
    <row r="53" spans="1:11" x14ac:dyDescent="0.3">
      <c r="A53" s="2" t="s">
        <v>256</v>
      </c>
      <c r="B53" s="5">
        <v>12330181753297</v>
      </c>
      <c r="C53" s="6" t="e">
        <f t="shared" si="3"/>
        <v>#N/A</v>
      </c>
      <c r="D53" s="6" t="e">
        <f t="shared" si="4"/>
        <v>#N/A</v>
      </c>
      <c r="F53" t="s">
        <v>8</v>
      </c>
      <c r="G53">
        <v>1643.84</v>
      </c>
      <c r="H53" t="s">
        <v>144</v>
      </c>
      <c r="I53" t="s">
        <v>156</v>
      </c>
      <c r="J53" t="s">
        <v>317</v>
      </c>
      <c r="K53" s="5">
        <f t="shared" si="6"/>
        <v>-1790267</v>
      </c>
    </row>
    <row r="54" spans="1:11" x14ac:dyDescent="0.3">
      <c r="A54" t="s">
        <v>49</v>
      </c>
      <c r="B54" s="5">
        <v>182182003903846</v>
      </c>
      <c r="C54" s="6" t="str">
        <f t="shared" si="3"/>
        <v>633000111039095</v>
      </c>
      <c r="D54" s="6">
        <f t="shared" si="4"/>
        <v>-450818107135249</v>
      </c>
      <c r="F54" t="s">
        <v>194</v>
      </c>
      <c r="G54">
        <v>1380.82</v>
      </c>
      <c r="H54" t="s">
        <v>153</v>
      </c>
      <c r="I54" t="s">
        <v>195</v>
      </c>
      <c r="J54" t="s">
        <v>318</v>
      </c>
      <c r="K54" s="5">
        <f t="shared" si="6"/>
        <v>1.8232977874044384E+17</v>
      </c>
    </row>
    <row r="55" spans="1:11" x14ac:dyDescent="0.3">
      <c r="A55" s="2" t="s">
        <v>45</v>
      </c>
      <c r="B55" s="5">
        <v>6201628044966</v>
      </c>
      <c r="C55" s="6" t="e">
        <f t="shared" si="3"/>
        <v>#N/A</v>
      </c>
      <c r="D55" s="6" t="e">
        <f t="shared" si="4"/>
        <v>#N/A</v>
      </c>
      <c r="F55" t="s">
        <v>174</v>
      </c>
      <c r="G55">
        <v>657.53</v>
      </c>
      <c r="H55" t="s">
        <v>175</v>
      </c>
      <c r="I55" t="s">
        <v>176</v>
      </c>
      <c r="J55" t="s">
        <v>319</v>
      </c>
      <c r="K55" s="5">
        <f t="shared" si="6"/>
        <v>-910709830459514</v>
      </c>
    </row>
    <row r="56" spans="1:11" x14ac:dyDescent="0.3">
      <c r="A56" s="2" t="s">
        <v>9</v>
      </c>
      <c r="B56" s="5">
        <v>6200511346894</v>
      </c>
      <c r="C56" s="6" t="e">
        <f t="shared" si="3"/>
        <v>#N/A</v>
      </c>
      <c r="D56" s="6" t="e">
        <f t="shared" si="4"/>
        <v>#N/A</v>
      </c>
      <c r="F56" t="s">
        <v>271</v>
      </c>
      <c r="G56">
        <v>2136.9899999999998</v>
      </c>
      <c r="H56" t="s">
        <v>272</v>
      </c>
      <c r="I56" t="s">
        <v>273</v>
      </c>
      <c r="J56" t="s">
        <v>320</v>
      </c>
      <c r="K56" s="5">
        <f t="shared" si="6"/>
        <v>82090868876360</v>
      </c>
    </row>
    <row r="57" spans="1:11" x14ac:dyDescent="0.3">
      <c r="A57" t="s">
        <v>6</v>
      </c>
      <c r="B57" s="5">
        <v>6200019265988</v>
      </c>
      <c r="C57" s="6" t="str">
        <f t="shared" ref="C57:C88" si="7">VLOOKUP(A57,F:J,5,FALSE)</f>
        <v>06200019265988</v>
      </c>
      <c r="D57" s="6">
        <f t="shared" si="4"/>
        <v>0</v>
      </c>
      <c r="F57" t="s">
        <v>148</v>
      </c>
      <c r="G57">
        <v>33863.01</v>
      </c>
      <c r="H57" t="s">
        <v>149</v>
      </c>
      <c r="I57" t="s">
        <v>150</v>
      </c>
      <c r="J57" t="s">
        <v>321</v>
      </c>
    </row>
    <row r="58" spans="1:11" x14ac:dyDescent="0.3">
      <c r="A58" t="s">
        <v>29</v>
      </c>
      <c r="B58" s="5">
        <v>32536108761</v>
      </c>
      <c r="C58" s="6" t="str">
        <f t="shared" si="7"/>
        <v>032536108761</v>
      </c>
      <c r="D58" s="6">
        <f t="shared" si="4"/>
        <v>0</v>
      </c>
      <c r="F58" t="s">
        <v>85</v>
      </c>
      <c r="G58">
        <v>1299.45</v>
      </c>
      <c r="H58" t="s">
        <v>163</v>
      </c>
      <c r="I58" t="s">
        <v>199</v>
      </c>
      <c r="J58" t="s">
        <v>322</v>
      </c>
    </row>
    <row r="59" spans="1:11" x14ac:dyDescent="0.3">
      <c r="A59" t="s">
        <v>98</v>
      </c>
      <c r="B59" s="5" t="s">
        <v>257</v>
      </c>
      <c r="C59" s="6" t="str">
        <f t="shared" si="7"/>
        <v>112879105506083</v>
      </c>
      <c r="D59" s="6" t="e">
        <f t="shared" ref="D59:D62" si="8">B59-C59</f>
        <v>#VALUE!</v>
      </c>
      <c r="F59" t="s">
        <v>0</v>
      </c>
      <c r="G59">
        <v>1315.07</v>
      </c>
      <c r="H59" t="s">
        <v>140</v>
      </c>
      <c r="I59" t="s">
        <v>141</v>
      </c>
      <c r="J59" t="s">
        <v>323</v>
      </c>
    </row>
    <row r="60" spans="1:11" x14ac:dyDescent="0.3">
      <c r="A60" s="2" t="s">
        <v>47</v>
      </c>
      <c r="B60" s="5">
        <v>112879414846225</v>
      </c>
      <c r="C60" s="6" t="e">
        <f t="shared" si="7"/>
        <v>#N/A</v>
      </c>
      <c r="D60" s="6" t="e">
        <f t="shared" si="8"/>
        <v>#N/A</v>
      </c>
      <c r="F60" t="s">
        <v>229</v>
      </c>
      <c r="G60">
        <v>986.3</v>
      </c>
      <c r="H60" t="s">
        <v>230</v>
      </c>
      <c r="I60" t="s">
        <v>231</v>
      </c>
      <c r="J60" t="s">
        <v>324</v>
      </c>
    </row>
    <row r="61" spans="1:11" x14ac:dyDescent="0.3">
      <c r="A61" t="s">
        <v>258</v>
      </c>
      <c r="B61" s="5">
        <v>182512966505943</v>
      </c>
      <c r="C61" s="6" t="str">
        <f t="shared" si="7"/>
        <v>182512966505943</v>
      </c>
      <c r="D61" s="6">
        <f t="shared" si="8"/>
        <v>0</v>
      </c>
      <c r="F61" t="s">
        <v>243</v>
      </c>
      <c r="G61">
        <v>19726.03</v>
      </c>
      <c r="H61" t="s">
        <v>244</v>
      </c>
      <c r="I61" t="s">
        <v>245</v>
      </c>
      <c r="J61" t="s">
        <v>325</v>
      </c>
    </row>
    <row r="62" spans="1:11" x14ac:dyDescent="0.3">
      <c r="A62" s="2" t="s">
        <v>1</v>
      </c>
      <c r="B62" s="5">
        <v>12291399498305</v>
      </c>
      <c r="C62" s="6" t="e">
        <f t="shared" si="7"/>
        <v>#N/A</v>
      </c>
      <c r="D62" s="6" t="e">
        <f t="shared" si="8"/>
        <v>#N/A</v>
      </c>
    </row>
    <row r="63" spans="1:11" x14ac:dyDescent="0.3">
      <c r="A63" s="2" t="s">
        <v>2</v>
      </c>
      <c r="B63" s="5">
        <v>70486502378200</v>
      </c>
      <c r="C63" s="6" t="e">
        <f t="shared" si="7"/>
        <v>#N/A</v>
      </c>
      <c r="D63" s="6" t="e">
        <f t="shared" ref="D63:D100" si="9">B63-C63</f>
        <v>#N/A</v>
      </c>
    </row>
    <row r="64" spans="1:11" x14ac:dyDescent="0.3">
      <c r="A64" t="s">
        <v>35</v>
      </c>
      <c r="B64" s="5">
        <v>6214010364813</v>
      </c>
      <c r="C64" s="6" t="str">
        <f t="shared" si="7"/>
        <v>06214010364813</v>
      </c>
      <c r="D64" s="6">
        <f t="shared" si="9"/>
        <v>0</v>
      </c>
    </row>
    <row r="65" spans="1:4" x14ac:dyDescent="0.3">
      <c r="A65" s="2" t="s">
        <v>142</v>
      </c>
      <c r="B65" s="5">
        <v>12241323870609</v>
      </c>
      <c r="C65" s="6" t="e">
        <f t="shared" si="7"/>
        <v>#N/A</v>
      </c>
      <c r="D65" s="6" t="e">
        <f t="shared" si="9"/>
        <v>#N/A</v>
      </c>
    </row>
    <row r="66" spans="1:4" x14ac:dyDescent="0.3">
      <c r="A66" s="2" t="s">
        <v>20</v>
      </c>
      <c r="B66" s="5">
        <v>6214010342550</v>
      </c>
      <c r="C66" s="6" t="e">
        <f t="shared" si="7"/>
        <v>#N/A</v>
      </c>
      <c r="D66" s="6" t="e">
        <f t="shared" si="9"/>
        <v>#N/A</v>
      </c>
    </row>
    <row r="67" spans="1:4" x14ac:dyDescent="0.3">
      <c r="A67" s="2" t="s">
        <v>27</v>
      </c>
      <c r="B67" s="5">
        <v>82140164204966</v>
      </c>
      <c r="C67" s="6" t="e">
        <f t="shared" si="7"/>
        <v>#N/A</v>
      </c>
      <c r="D67" s="6" t="e">
        <f t="shared" si="9"/>
        <v>#N/A</v>
      </c>
    </row>
    <row r="68" spans="1:4" x14ac:dyDescent="0.3">
      <c r="A68" s="2" t="s">
        <v>44</v>
      </c>
      <c r="B68" s="5">
        <v>82057418887745</v>
      </c>
      <c r="C68" s="6" t="e">
        <f t="shared" si="7"/>
        <v>#N/A</v>
      </c>
      <c r="D68" s="6" t="e">
        <f t="shared" si="9"/>
        <v>#N/A</v>
      </c>
    </row>
    <row r="69" spans="1:4" x14ac:dyDescent="0.3">
      <c r="A69" s="2" t="s">
        <v>18</v>
      </c>
      <c r="B69" s="5">
        <v>12404221502076</v>
      </c>
      <c r="C69" s="6" t="e">
        <f t="shared" si="7"/>
        <v>#N/A</v>
      </c>
      <c r="D69" s="6" t="e">
        <f t="shared" si="9"/>
        <v>#N/A</v>
      </c>
    </row>
    <row r="70" spans="1:4" x14ac:dyDescent="0.3">
      <c r="A70" s="2" t="s">
        <v>219</v>
      </c>
      <c r="B70" s="5">
        <v>82057599646712</v>
      </c>
      <c r="C70" s="6" t="e">
        <f t="shared" si="7"/>
        <v>#N/A</v>
      </c>
      <c r="D70" s="6" t="e">
        <f t="shared" si="9"/>
        <v>#N/A</v>
      </c>
    </row>
    <row r="71" spans="1:4" x14ac:dyDescent="0.3">
      <c r="A71" s="2" t="s">
        <v>24</v>
      </c>
      <c r="B71" s="5">
        <v>182512971569421</v>
      </c>
      <c r="C71" s="6" t="e">
        <f t="shared" si="7"/>
        <v>#N/A</v>
      </c>
      <c r="D71" s="6" t="e">
        <f t="shared" si="9"/>
        <v>#N/A</v>
      </c>
    </row>
    <row r="72" spans="1:4" x14ac:dyDescent="0.3">
      <c r="A72" t="s">
        <v>136</v>
      </c>
      <c r="B72" s="5">
        <v>182182128413</v>
      </c>
      <c r="C72" s="6" t="str">
        <f t="shared" si="7"/>
        <v>182182128413</v>
      </c>
      <c r="D72" s="6">
        <f t="shared" si="9"/>
        <v>0</v>
      </c>
    </row>
    <row r="73" spans="1:4" x14ac:dyDescent="0.3">
      <c r="A73" s="2" t="s">
        <v>259</v>
      </c>
      <c r="B73" s="5">
        <v>32267467482</v>
      </c>
      <c r="C73" s="6" t="e">
        <f t="shared" si="7"/>
        <v>#N/A</v>
      </c>
      <c r="D73" s="6" t="e">
        <f t="shared" si="9"/>
        <v>#N/A</v>
      </c>
    </row>
    <row r="74" spans="1:4" x14ac:dyDescent="0.3">
      <c r="A74" s="2" t="s">
        <v>122</v>
      </c>
      <c r="B74" s="5">
        <v>732066511886</v>
      </c>
      <c r="C74" s="6" t="e">
        <f t="shared" si="7"/>
        <v>#N/A</v>
      </c>
      <c r="D74" s="6" t="e">
        <f t="shared" si="9"/>
        <v>#N/A</v>
      </c>
    </row>
    <row r="75" spans="1:4" x14ac:dyDescent="0.3">
      <c r="A75" s="2" t="s">
        <v>26</v>
      </c>
      <c r="B75" s="5">
        <v>112879453909778</v>
      </c>
      <c r="C75" s="6" t="e">
        <f t="shared" si="7"/>
        <v>#N/A</v>
      </c>
      <c r="D75" s="6" t="e">
        <f t="shared" si="9"/>
        <v>#N/A</v>
      </c>
    </row>
    <row r="76" spans="1:4" x14ac:dyDescent="0.3">
      <c r="A76" s="2" t="s">
        <v>111</v>
      </c>
      <c r="B76" s="5">
        <v>923100306845590</v>
      </c>
      <c r="C76" s="6" t="e">
        <f t="shared" si="7"/>
        <v>#N/A</v>
      </c>
      <c r="D76" s="6" t="e">
        <f t="shared" si="9"/>
        <v>#N/A</v>
      </c>
    </row>
    <row r="77" spans="1:4" x14ac:dyDescent="0.3">
      <c r="A77" s="2" t="s">
        <v>42</v>
      </c>
      <c r="B77" s="5">
        <v>484799481619330</v>
      </c>
      <c r="C77" s="6" t="e">
        <f t="shared" si="7"/>
        <v>#N/A</v>
      </c>
      <c r="D77" s="6" t="e">
        <f t="shared" si="9"/>
        <v>#N/A</v>
      </c>
    </row>
    <row r="78" spans="1:4" x14ac:dyDescent="0.3">
      <c r="A78" s="2" t="s">
        <v>260</v>
      </c>
      <c r="B78" s="5">
        <v>182222231125147</v>
      </c>
      <c r="C78" s="6" t="e">
        <f t="shared" si="7"/>
        <v>#N/A</v>
      </c>
      <c r="D78" s="6" t="e">
        <f t="shared" si="9"/>
        <v>#N/A</v>
      </c>
    </row>
    <row r="79" spans="1:4" x14ac:dyDescent="0.3">
      <c r="A79" s="2" t="s">
        <v>23</v>
      </c>
      <c r="B79" s="5">
        <v>182222303026611</v>
      </c>
      <c r="C79" s="6" t="e">
        <f t="shared" si="7"/>
        <v>#N/A</v>
      </c>
      <c r="D79" s="6" t="e">
        <f t="shared" si="9"/>
        <v>#N/A</v>
      </c>
    </row>
    <row r="80" spans="1:4" x14ac:dyDescent="0.3">
      <c r="A80" s="2" t="s">
        <v>25</v>
      </c>
      <c r="B80" s="5">
        <v>182182018877951</v>
      </c>
      <c r="C80" s="6" t="e">
        <f t="shared" si="7"/>
        <v>#N/A</v>
      </c>
      <c r="D80" s="6" t="e">
        <f t="shared" si="9"/>
        <v>#N/A</v>
      </c>
    </row>
    <row r="81" spans="1:6" x14ac:dyDescent="0.3">
      <c r="A81" s="2" t="s">
        <v>261</v>
      </c>
      <c r="B81" s="5">
        <v>6221710922105</v>
      </c>
      <c r="C81" s="6" t="e">
        <f t="shared" si="7"/>
        <v>#N/A</v>
      </c>
      <c r="D81" s="6" t="e">
        <f t="shared" si="9"/>
        <v>#N/A</v>
      </c>
    </row>
    <row r="82" spans="1:6" x14ac:dyDescent="0.3">
      <c r="A82" s="2" t="s">
        <v>13</v>
      </c>
      <c r="B82" s="5">
        <v>812170189780</v>
      </c>
      <c r="C82" s="6" t="e">
        <f t="shared" si="7"/>
        <v>#N/A</v>
      </c>
      <c r="D82" s="6" t="e">
        <f t="shared" si="9"/>
        <v>#N/A</v>
      </c>
    </row>
    <row r="83" spans="1:6" x14ac:dyDescent="0.3">
      <c r="A83" s="2" t="s">
        <v>106</v>
      </c>
      <c r="B83" s="5">
        <v>82055675776296</v>
      </c>
      <c r="C83" s="6" t="e">
        <f t="shared" si="7"/>
        <v>#N/A</v>
      </c>
      <c r="D83" s="6" t="e">
        <f t="shared" si="9"/>
        <v>#N/A</v>
      </c>
    </row>
    <row r="84" spans="1:6" x14ac:dyDescent="0.3">
      <c r="A84" s="2" t="s">
        <v>22</v>
      </c>
      <c r="B84" s="5">
        <v>923100306845590</v>
      </c>
      <c r="C84" s="6" t="e">
        <f t="shared" si="7"/>
        <v>#N/A</v>
      </c>
      <c r="D84" s="6" t="e">
        <f t="shared" si="9"/>
        <v>#N/A</v>
      </c>
    </row>
    <row r="85" spans="1:6" x14ac:dyDescent="0.3">
      <c r="A85" t="s">
        <v>28</v>
      </c>
      <c r="B85" s="5">
        <v>732143543946</v>
      </c>
      <c r="C85" s="6" t="str">
        <f t="shared" si="7"/>
        <v>732143543946</v>
      </c>
      <c r="D85" s="6">
        <f t="shared" si="9"/>
        <v>0</v>
      </c>
    </row>
    <row r="86" spans="1:6" x14ac:dyDescent="0.3">
      <c r="A86" s="2" t="s">
        <v>116</v>
      </c>
      <c r="B86" s="5">
        <v>484799121995294</v>
      </c>
      <c r="C86" s="6" t="e">
        <f t="shared" si="7"/>
        <v>#N/A</v>
      </c>
      <c r="D86" s="6" t="e">
        <f t="shared" si="9"/>
        <v>#N/A</v>
      </c>
    </row>
    <row r="87" spans="1:6" x14ac:dyDescent="0.3">
      <c r="A87" s="2" t="s">
        <v>130</v>
      </c>
      <c r="B87" s="5">
        <v>484799121995235</v>
      </c>
      <c r="C87" s="6" t="e">
        <f t="shared" si="7"/>
        <v>#N/A</v>
      </c>
      <c r="D87" s="6" t="e">
        <f t="shared" si="9"/>
        <v>#N/A</v>
      </c>
    </row>
    <row r="88" spans="1:6" x14ac:dyDescent="0.3">
      <c r="A88" s="2" t="s">
        <v>43</v>
      </c>
      <c r="B88" s="5">
        <v>82798205490656</v>
      </c>
      <c r="C88" s="6" t="e">
        <f t="shared" si="7"/>
        <v>#N/A</v>
      </c>
      <c r="D88" s="6" t="e">
        <f t="shared" si="9"/>
        <v>#N/A</v>
      </c>
    </row>
    <row r="89" spans="1:6" x14ac:dyDescent="0.3">
      <c r="A89" s="2" t="s">
        <v>262</v>
      </c>
      <c r="B89" s="5">
        <v>33364015140</v>
      </c>
      <c r="C89" s="6" t="e">
        <f t="shared" ref="C89:C100" si="10">VLOOKUP(A89,F:J,5,FALSE)</f>
        <v>#N/A</v>
      </c>
      <c r="D89" s="6" t="e">
        <f t="shared" si="9"/>
        <v>#N/A</v>
      </c>
    </row>
    <row r="90" spans="1:6" x14ac:dyDescent="0.3">
      <c r="A90" s="2" t="s">
        <v>3</v>
      </c>
      <c r="B90" s="5">
        <v>12291282250074</v>
      </c>
      <c r="C90" s="6" t="e">
        <f t="shared" si="10"/>
        <v>#N/A</v>
      </c>
      <c r="D90" s="6" t="e">
        <f t="shared" si="9"/>
        <v>#N/A</v>
      </c>
    </row>
    <row r="91" spans="1:6" x14ac:dyDescent="0.3">
      <c r="A91" t="s">
        <v>129</v>
      </c>
      <c r="B91" s="5">
        <v>12291295421696</v>
      </c>
      <c r="C91" s="6" t="str">
        <f t="shared" si="10"/>
        <v>012291295421696</v>
      </c>
      <c r="D91" s="6">
        <f t="shared" si="9"/>
        <v>0</v>
      </c>
      <c r="F91" s="1"/>
    </row>
    <row r="92" spans="1:6" x14ac:dyDescent="0.3">
      <c r="A92" t="s">
        <v>148</v>
      </c>
      <c r="B92" s="5">
        <v>939200725348617</v>
      </c>
      <c r="C92" s="6" t="str">
        <f t="shared" si="10"/>
        <v>012291282250074</v>
      </c>
      <c r="D92" s="6">
        <f t="shared" si="9"/>
        <v>926909443098543</v>
      </c>
    </row>
    <row r="93" spans="1:6" x14ac:dyDescent="0.3">
      <c r="A93" s="2" t="s">
        <v>19</v>
      </c>
      <c r="B93" s="5">
        <v>6219010676975</v>
      </c>
      <c r="C93" s="6" t="e">
        <f t="shared" si="10"/>
        <v>#N/A</v>
      </c>
      <c r="D93" s="6" t="e">
        <f t="shared" si="9"/>
        <v>#N/A</v>
      </c>
    </row>
    <row r="94" spans="1:6" x14ac:dyDescent="0.3">
      <c r="A94" s="2" t="s">
        <v>39</v>
      </c>
      <c r="B94" s="5">
        <v>812170145800</v>
      </c>
      <c r="C94" s="6" t="e">
        <f t="shared" si="10"/>
        <v>#N/A</v>
      </c>
      <c r="D94" s="6" t="e">
        <f t="shared" si="9"/>
        <v>#N/A</v>
      </c>
    </row>
    <row r="95" spans="1:6" x14ac:dyDescent="0.3">
      <c r="A95" t="s">
        <v>0</v>
      </c>
      <c r="B95" s="5">
        <v>32267436344</v>
      </c>
      <c r="C95" s="6" t="str">
        <f t="shared" si="10"/>
        <v>032267436344</v>
      </c>
      <c r="D95" s="6">
        <f t="shared" si="9"/>
        <v>0</v>
      </c>
    </row>
    <row r="96" spans="1:6" x14ac:dyDescent="0.3">
      <c r="A96" s="2" t="s">
        <v>127</v>
      </c>
      <c r="B96" s="5">
        <v>6716717851922</v>
      </c>
      <c r="C96" s="6" t="e">
        <f t="shared" si="10"/>
        <v>#N/A</v>
      </c>
      <c r="D96" s="6" t="e">
        <f t="shared" si="9"/>
        <v>#N/A</v>
      </c>
    </row>
    <row r="97" spans="1:4" x14ac:dyDescent="0.3">
      <c r="A97" s="2" t="s">
        <v>135</v>
      </c>
      <c r="B97" s="5">
        <v>32075457968</v>
      </c>
      <c r="C97" s="6" t="e">
        <f t="shared" si="10"/>
        <v>#N/A</v>
      </c>
      <c r="D97" s="6" t="e">
        <f t="shared" si="9"/>
        <v>#N/A</v>
      </c>
    </row>
    <row r="98" spans="1:4" x14ac:dyDescent="0.3">
      <c r="A98" s="2" t="s">
        <v>263</v>
      </c>
      <c r="B98" s="5" t="s">
        <v>264</v>
      </c>
      <c r="C98" s="6" t="e">
        <f t="shared" si="10"/>
        <v>#N/A</v>
      </c>
      <c r="D98" s="6" t="e">
        <f t="shared" si="9"/>
        <v>#VALUE!</v>
      </c>
    </row>
    <row r="99" spans="1:4" x14ac:dyDescent="0.3">
      <c r="A99" s="2" t="s">
        <v>37</v>
      </c>
      <c r="B99" s="5">
        <v>112879495657185</v>
      </c>
      <c r="C99" s="6" t="e">
        <f t="shared" si="10"/>
        <v>#N/A</v>
      </c>
      <c r="D99" s="6" t="e">
        <f t="shared" si="9"/>
        <v>#N/A</v>
      </c>
    </row>
    <row r="100" spans="1:4" x14ac:dyDescent="0.3">
      <c r="A100" s="2" t="s">
        <v>251</v>
      </c>
      <c r="B100" s="5">
        <v>86805332093004</v>
      </c>
      <c r="C100" s="6" t="e">
        <f t="shared" si="10"/>
        <v>#N/A</v>
      </c>
      <c r="D100" s="6" t="e">
        <f t="shared" si="9"/>
        <v>#N/A</v>
      </c>
    </row>
  </sheetData>
  <autoFilter ref="A1:D108" xr:uid="{24408FFB-ACE6-4100-8293-C17CA12E2EF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2065-61B8-45F0-994A-E1B99D5CF6B5}">
  <sheetPr codeName="Sheet2"/>
  <dimension ref="A1:B112"/>
  <sheetViews>
    <sheetView workbookViewId="0">
      <selection activeCell="C12" sqref="C12"/>
    </sheetView>
  </sheetViews>
  <sheetFormatPr defaultRowHeight="14.4" x14ac:dyDescent="0.3"/>
  <cols>
    <col min="1" max="1" width="35" bestFit="1" customWidth="1"/>
    <col min="2" max="2" width="16.5546875" bestFit="1" customWidth="1"/>
  </cols>
  <sheetData>
    <row r="1" spans="1:2" x14ac:dyDescent="0.3">
      <c r="A1" s="1" t="s">
        <v>109</v>
      </c>
    </row>
    <row r="2" spans="1:2" x14ac:dyDescent="0.3">
      <c r="A2" t="s">
        <v>40</v>
      </c>
    </row>
    <row r="3" spans="1:2" x14ac:dyDescent="0.3">
      <c r="A3" t="s">
        <v>30</v>
      </c>
    </row>
    <row r="4" spans="1:2" x14ac:dyDescent="0.3">
      <c r="A4" t="s">
        <v>97</v>
      </c>
      <c r="B4" t="s">
        <v>108</v>
      </c>
    </row>
    <row r="5" spans="1:2" x14ac:dyDescent="0.3">
      <c r="A5" t="s">
        <v>92</v>
      </c>
    </row>
    <row r="6" spans="1:2" x14ac:dyDescent="0.3">
      <c r="A6" t="s">
        <v>76</v>
      </c>
    </row>
    <row r="7" spans="1:2" x14ac:dyDescent="0.3">
      <c r="A7" t="s">
        <v>15</v>
      </c>
    </row>
    <row r="8" spans="1:2" x14ac:dyDescent="0.3">
      <c r="A8" t="s">
        <v>95</v>
      </c>
    </row>
    <row r="9" spans="1:2" x14ac:dyDescent="0.3">
      <c r="A9" t="s">
        <v>37</v>
      </c>
    </row>
    <row r="10" spans="1:2" x14ac:dyDescent="0.3">
      <c r="A10" t="s">
        <v>16</v>
      </c>
    </row>
    <row r="11" spans="1:2" x14ac:dyDescent="0.3">
      <c r="A11" t="s">
        <v>94</v>
      </c>
    </row>
    <row r="12" spans="1:2" x14ac:dyDescent="0.3">
      <c r="A12" t="s">
        <v>34</v>
      </c>
    </row>
    <row r="13" spans="1:2" x14ac:dyDescent="0.3">
      <c r="A13" t="s">
        <v>96</v>
      </c>
    </row>
    <row r="14" spans="1:2" x14ac:dyDescent="0.3">
      <c r="A14" t="s">
        <v>38</v>
      </c>
    </row>
    <row r="15" spans="1:2" x14ac:dyDescent="0.3">
      <c r="A15" t="s">
        <v>105</v>
      </c>
    </row>
    <row r="16" spans="1:2" x14ac:dyDescent="0.3">
      <c r="A16" t="s">
        <v>79</v>
      </c>
    </row>
    <row r="17" spans="1:2" x14ac:dyDescent="0.3">
      <c r="A17" t="s">
        <v>45</v>
      </c>
    </row>
    <row r="18" spans="1:2" x14ac:dyDescent="0.3">
      <c r="A18" t="s">
        <v>91</v>
      </c>
    </row>
    <row r="19" spans="1:2" x14ac:dyDescent="0.3">
      <c r="A19" t="s">
        <v>11</v>
      </c>
    </row>
    <row r="20" spans="1:2" x14ac:dyDescent="0.3">
      <c r="A20" t="s">
        <v>83</v>
      </c>
      <c r="B20" t="s">
        <v>247</v>
      </c>
    </row>
    <row r="21" spans="1:2" x14ac:dyDescent="0.3">
      <c r="A21" t="s">
        <v>103</v>
      </c>
    </row>
    <row r="22" spans="1:2" x14ac:dyDescent="0.3">
      <c r="A22" t="s">
        <v>81</v>
      </c>
    </row>
    <row r="23" spans="1:2" x14ac:dyDescent="0.3">
      <c r="A23" t="s">
        <v>66</v>
      </c>
    </row>
    <row r="24" spans="1:2" x14ac:dyDescent="0.3">
      <c r="A24" t="s">
        <v>86</v>
      </c>
    </row>
    <row r="25" spans="1:2" x14ac:dyDescent="0.3">
      <c r="A25" t="s">
        <v>82</v>
      </c>
    </row>
    <row r="26" spans="1:2" x14ac:dyDescent="0.3">
      <c r="A26" t="s">
        <v>31</v>
      </c>
    </row>
    <row r="27" spans="1:2" x14ac:dyDescent="0.3">
      <c r="A27" t="s">
        <v>75</v>
      </c>
    </row>
    <row r="28" spans="1:2" x14ac:dyDescent="0.3">
      <c r="A28" t="s">
        <v>87</v>
      </c>
    </row>
    <row r="29" spans="1:2" x14ac:dyDescent="0.3">
      <c r="A29" t="s">
        <v>55</v>
      </c>
      <c r="B29" t="s">
        <v>110</v>
      </c>
    </row>
    <row r="30" spans="1:2" x14ac:dyDescent="0.3">
      <c r="A30" t="s">
        <v>63</v>
      </c>
    </row>
    <row r="31" spans="1:2" x14ac:dyDescent="0.3">
      <c r="A31" t="s">
        <v>99</v>
      </c>
    </row>
    <row r="32" spans="1:2" x14ac:dyDescent="0.3">
      <c r="A32" t="s">
        <v>69</v>
      </c>
    </row>
    <row r="33" spans="1:1" x14ac:dyDescent="0.3">
      <c r="A33" t="s">
        <v>65</v>
      </c>
    </row>
    <row r="34" spans="1:1" x14ac:dyDescent="0.3">
      <c r="A34" t="s">
        <v>67</v>
      </c>
    </row>
    <row r="35" spans="1:1" x14ac:dyDescent="0.3">
      <c r="A35" t="s">
        <v>48</v>
      </c>
    </row>
    <row r="36" spans="1:1" x14ac:dyDescent="0.3">
      <c r="A36" t="s">
        <v>58</v>
      </c>
    </row>
    <row r="37" spans="1:1" x14ac:dyDescent="0.3">
      <c r="A37" t="s">
        <v>41</v>
      </c>
    </row>
    <row r="38" spans="1:1" x14ac:dyDescent="0.3">
      <c r="A38" t="s">
        <v>74</v>
      </c>
    </row>
    <row r="39" spans="1:1" x14ac:dyDescent="0.3">
      <c r="A39" t="s">
        <v>7</v>
      </c>
    </row>
    <row r="40" spans="1:1" x14ac:dyDescent="0.3">
      <c r="A40" t="s">
        <v>61</v>
      </c>
    </row>
    <row r="41" spans="1:1" x14ac:dyDescent="0.3">
      <c r="A41" t="s">
        <v>59</v>
      </c>
    </row>
    <row r="42" spans="1:1" x14ac:dyDescent="0.3">
      <c r="A42" t="s">
        <v>14</v>
      </c>
    </row>
    <row r="43" spans="1:1" x14ac:dyDescent="0.3">
      <c r="A43" t="s">
        <v>54</v>
      </c>
    </row>
    <row r="44" spans="1:1" x14ac:dyDescent="0.3">
      <c r="A44" t="s">
        <v>104</v>
      </c>
    </row>
    <row r="45" spans="1:1" x14ac:dyDescent="0.3">
      <c r="A45" t="s">
        <v>17</v>
      </c>
    </row>
    <row r="46" spans="1:1" x14ac:dyDescent="0.3">
      <c r="A46" t="s">
        <v>56</v>
      </c>
    </row>
    <row r="47" spans="1:1" x14ac:dyDescent="0.3">
      <c r="A47" t="s">
        <v>71</v>
      </c>
    </row>
    <row r="48" spans="1:1" x14ac:dyDescent="0.3">
      <c r="A48" t="s">
        <v>49</v>
      </c>
    </row>
    <row r="49" spans="1:2" x14ac:dyDescent="0.3">
      <c r="A49" t="s">
        <v>90</v>
      </c>
    </row>
    <row r="50" spans="1:2" x14ac:dyDescent="0.3">
      <c r="A50" t="s">
        <v>89</v>
      </c>
    </row>
    <row r="51" spans="1:2" x14ac:dyDescent="0.3">
      <c r="A51" t="s">
        <v>64</v>
      </c>
    </row>
    <row r="52" spans="1:2" x14ac:dyDescent="0.3">
      <c r="A52" t="s">
        <v>53</v>
      </c>
    </row>
    <row r="53" spans="1:2" x14ac:dyDescent="0.3">
      <c r="A53" t="s">
        <v>60</v>
      </c>
    </row>
    <row r="54" spans="1:2" x14ac:dyDescent="0.3">
      <c r="A54" t="s">
        <v>29</v>
      </c>
    </row>
    <row r="55" spans="1:2" x14ac:dyDescent="0.3">
      <c r="A55" t="s">
        <v>80</v>
      </c>
      <c r="B55" t="s">
        <v>33</v>
      </c>
    </row>
    <row r="56" spans="1:2" x14ac:dyDescent="0.3">
      <c r="A56" t="s">
        <v>98</v>
      </c>
    </row>
    <row r="57" spans="1:2" x14ac:dyDescent="0.3">
      <c r="A57" t="s">
        <v>93</v>
      </c>
    </row>
    <row r="58" spans="1:2" x14ac:dyDescent="0.3">
      <c r="A58" t="s">
        <v>70</v>
      </c>
    </row>
    <row r="59" spans="1:2" x14ac:dyDescent="0.3">
      <c r="A59" t="s">
        <v>57</v>
      </c>
    </row>
    <row r="60" spans="1:2" x14ac:dyDescent="0.3">
      <c r="A60" t="s">
        <v>2</v>
      </c>
    </row>
    <row r="61" spans="1:2" x14ac:dyDescent="0.3">
      <c r="A61" t="s">
        <v>35</v>
      </c>
    </row>
    <row r="62" spans="1:2" x14ac:dyDescent="0.3">
      <c r="A62" t="s">
        <v>52</v>
      </c>
    </row>
    <row r="63" spans="1:2" x14ac:dyDescent="0.3">
      <c r="A63" t="s">
        <v>20</v>
      </c>
    </row>
    <row r="64" spans="1:2" x14ac:dyDescent="0.3">
      <c r="A64" t="s">
        <v>27</v>
      </c>
    </row>
    <row r="65" spans="1:2" x14ac:dyDescent="0.3">
      <c r="A65" t="s">
        <v>88</v>
      </c>
    </row>
    <row r="66" spans="1:2" x14ac:dyDescent="0.3">
      <c r="A66" t="s">
        <v>72</v>
      </c>
    </row>
    <row r="67" spans="1:2" x14ac:dyDescent="0.3">
      <c r="A67" t="s">
        <v>24</v>
      </c>
    </row>
    <row r="68" spans="1:2" x14ac:dyDescent="0.3">
      <c r="A68" t="s">
        <v>77</v>
      </c>
    </row>
    <row r="69" spans="1:2" x14ac:dyDescent="0.3">
      <c r="A69" t="s">
        <v>21</v>
      </c>
      <c r="B69" t="s">
        <v>111</v>
      </c>
    </row>
    <row r="70" spans="1:2" x14ac:dyDescent="0.3">
      <c r="A70" t="s">
        <v>42</v>
      </c>
    </row>
    <row r="71" spans="1:2" x14ac:dyDescent="0.3">
      <c r="A71" t="s">
        <v>84</v>
      </c>
    </row>
    <row r="72" spans="1:2" x14ac:dyDescent="0.3">
      <c r="A72" t="s">
        <v>23</v>
      </c>
    </row>
    <row r="73" spans="1:2" x14ac:dyDescent="0.3">
      <c r="A73" t="s">
        <v>25</v>
      </c>
    </row>
    <row r="74" spans="1:2" x14ac:dyDescent="0.3">
      <c r="A74" t="s">
        <v>68</v>
      </c>
    </row>
    <row r="75" spans="1:2" x14ac:dyDescent="0.3">
      <c r="A75" t="s">
        <v>106</v>
      </c>
    </row>
    <row r="76" spans="1:2" x14ac:dyDescent="0.3">
      <c r="A76" t="s">
        <v>22</v>
      </c>
      <c r="B76" t="s">
        <v>111</v>
      </c>
    </row>
    <row r="77" spans="1:2" x14ac:dyDescent="0.3">
      <c r="A77" t="s">
        <v>78</v>
      </c>
    </row>
    <row r="78" spans="1:2" x14ac:dyDescent="0.3">
      <c r="A78" t="s">
        <v>43</v>
      </c>
    </row>
    <row r="79" spans="1:2" x14ac:dyDescent="0.3">
      <c r="A79" t="s">
        <v>130</v>
      </c>
      <c r="B79" s="2"/>
    </row>
    <row r="80" spans="1:2" x14ac:dyDescent="0.3">
      <c r="A80" t="s">
        <v>3</v>
      </c>
    </row>
    <row r="81" spans="1:2" x14ac:dyDescent="0.3">
      <c r="A81" t="s">
        <v>118</v>
      </c>
      <c r="B81" t="s">
        <v>129</v>
      </c>
    </row>
    <row r="82" spans="1:2" x14ac:dyDescent="0.3">
      <c r="A82" t="s">
        <v>121</v>
      </c>
    </row>
    <row r="83" spans="1:2" x14ac:dyDescent="0.3">
      <c r="A83" t="s">
        <v>73</v>
      </c>
      <c r="B83" s="2"/>
    </row>
    <row r="84" spans="1:2" x14ac:dyDescent="0.3">
      <c r="A84" t="s">
        <v>85</v>
      </c>
    </row>
    <row r="85" spans="1:2" x14ac:dyDescent="0.3">
      <c r="A85" t="s">
        <v>0</v>
      </c>
      <c r="B85" s="2"/>
    </row>
    <row r="86" spans="1:2" x14ac:dyDescent="0.3">
      <c r="A86" t="s">
        <v>62</v>
      </c>
    </row>
    <row r="87" spans="1:2" x14ac:dyDescent="0.3">
      <c r="A87" t="s">
        <v>113</v>
      </c>
      <c r="B87" s="2"/>
    </row>
    <row r="88" spans="1:2" x14ac:dyDescent="0.3">
      <c r="A88" t="s">
        <v>115</v>
      </c>
    </row>
    <row r="89" spans="1:2" x14ac:dyDescent="0.3">
      <c r="A89" t="s">
        <v>114</v>
      </c>
      <c r="B89" s="2"/>
    </row>
    <row r="90" spans="1:2" x14ac:dyDescent="0.3">
      <c r="A90" t="s">
        <v>116</v>
      </c>
    </row>
    <row r="91" spans="1:2" x14ac:dyDescent="0.3">
      <c r="A91" t="s">
        <v>123</v>
      </c>
    </row>
    <row r="92" spans="1:2" x14ac:dyDescent="0.3">
      <c r="A92" t="s">
        <v>124</v>
      </c>
    </row>
    <row r="93" spans="1:2" x14ac:dyDescent="0.3">
      <c r="A93" t="s">
        <v>125</v>
      </c>
    </row>
    <row r="94" spans="1:2" x14ac:dyDescent="0.3">
      <c r="A94" t="s">
        <v>122</v>
      </c>
    </row>
    <row r="95" spans="1:2" x14ac:dyDescent="0.3">
      <c r="A95" t="s">
        <v>119</v>
      </c>
    </row>
    <row r="96" spans="1:2" x14ac:dyDescent="0.3">
      <c r="A96" t="s">
        <v>120</v>
      </c>
    </row>
    <row r="97" spans="1:2" x14ac:dyDescent="0.3">
      <c r="A97" t="s">
        <v>128</v>
      </c>
    </row>
    <row r="98" spans="1:2" x14ac:dyDescent="0.3">
      <c r="A98" t="s">
        <v>126</v>
      </c>
    </row>
    <row r="99" spans="1:2" x14ac:dyDescent="0.3">
      <c r="A99" t="s">
        <v>127</v>
      </c>
    </row>
    <row r="100" spans="1:2" x14ac:dyDescent="0.3">
      <c r="A100" t="s">
        <v>131</v>
      </c>
    </row>
    <row r="101" spans="1:2" x14ac:dyDescent="0.3">
      <c r="A101" t="s">
        <v>132</v>
      </c>
      <c r="B101" t="s">
        <v>235</v>
      </c>
    </row>
    <row r="102" spans="1:2" x14ac:dyDescent="0.3">
      <c r="A102" t="s">
        <v>133</v>
      </c>
    </row>
    <row r="103" spans="1:2" x14ac:dyDescent="0.3">
      <c r="A103" t="s">
        <v>134</v>
      </c>
    </row>
    <row r="104" spans="1:2" x14ac:dyDescent="0.3">
      <c r="A104" t="s">
        <v>137</v>
      </c>
    </row>
    <row r="105" spans="1:2" x14ac:dyDescent="0.3">
      <c r="A105" t="s">
        <v>136</v>
      </c>
    </row>
    <row r="106" spans="1:2" x14ac:dyDescent="0.3">
      <c r="A106" t="s">
        <v>135</v>
      </c>
    </row>
    <row r="107" spans="1:2" x14ac:dyDescent="0.3">
      <c r="A107" t="s">
        <v>249</v>
      </c>
    </row>
    <row r="108" spans="1:2" x14ac:dyDescent="0.3">
      <c r="A108" t="s">
        <v>250</v>
      </c>
    </row>
    <row r="109" spans="1:2" x14ac:dyDescent="0.3">
      <c r="A109" t="s">
        <v>248</v>
      </c>
    </row>
    <row r="110" spans="1:2" x14ac:dyDescent="0.3">
      <c r="A110" t="s">
        <v>252</v>
      </c>
    </row>
    <row r="111" spans="1:2" x14ac:dyDescent="0.3">
      <c r="A111" t="s">
        <v>327</v>
      </c>
    </row>
    <row r="112" spans="1:2" x14ac:dyDescent="0.3">
      <c r="A112" t="s">
        <v>326</v>
      </c>
    </row>
  </sheetData>
  <conditionalFormatting sqref="A2:A100 A103:A110 A113:A1048576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60F2C-1F5E-455A-BCC6-FCD7F15A5906}">
  <sheetPr codeName="Sheet3">
    <tabColor rgb="FFFFFF00"/>
  </sheetPr>
  <dimension ref="A1:Z531"/>
  <sheetViews>
    <sheetView topLeftCell="A498" workbookViewId="0">
      <selection activeCell="A347" sqref="A347:P347"/>
    </sheetView>
  </sheetViews>
  <sheetFormatPr defaultRowHeight="14.4" x14ac:dyDescent="0.3"/>
  <cols>
    <col min="1" max="1" width="4.6640625" style="15" customWidth="1"/>
    <col min="2" max="2" width="3.33203125" style="15" customWidth="1"/>
    <col min="3" max="3" width="1.109375" style="15" customWidth="1"/>
    <col min="4" max="5" width="5.77734375" style="15" customWidth="1"/>
    <col min="6" max="8" width="1.109375" style="15" customWidth="1"/>
    <col min="9" max="9" width="11.5546875" style="15" customWidth="1"/>
    <col min="10" max="10" width="2.21875" style="15" customWidth="1"/>
    <col min="11" max="11" width="25.5546875" style="15" customWidth="1"/>
    <col min="12" max="15" width="1.109375" style="15" customWidth="1"/>
    <col min="16" max="16" width="11.5546875" style="15" customWidth="1"/>
    <col min="17" max="17" width="1.109375" style="15" customWidth="1"/>
    <col min="18" max="18" width="15.109375" style="15" customWidth="1"/>
    <col min="19" max="19" width="1.109375" style="15" customWidth="1"/>
    <col min="20" max="20" width="15.109375" style="15" customWidth="1"/>
    <col min="21" max="21" width="1.109375" style="15" customWidth="1"/>
    <col min="22" max="22" width="10.44140625" style="15" customWidth="1"/>
    <col min="23" max="23" width="4.6640625" style="15" customWidth="1"/>
    <col min="24" max="24" width="1.109375" style="15" customWidth="1"/>
    <col min="25" max="25" width="6.88671875" style="15" customWidth="1"/>
    <col min="26" max="26" width="1.109375" style="15" customWidth="1"/>
    <col min="27" max="16384" width="8.88671875" style="15"/>
  </cols>
  <sheetData>
    <row r="1" spans="1:26" ht="11.25" customHeight="1" x14ac:dyDescent="0.3">
      <c r="A1" s="10" t="s">
        <v>331</v>
      </c>
      <c r="B1" s="10"/>
      <c r="C1" s="10"/>
      <c r="D1" s="10"/>
      <c r="E1" s="10"/>
      <c r="F1" s="11" t="s">
        <v>332</v>
      </c>
      <c r="G1" s="11"/>
      <c r="H1" s="11"/>
      <c r="I1" s="11"/>
      <c r="J1" s="11"/>
      <c r="K1" s="11"/>
      <c r="L1" s="11"/>
      <c r="M1" s="11"/>
      <c r="N1" s="12" t="s">
        <v>333</v>
      </c>
      <c r="O1" s="12"/>
      <c r="P1" s="12"/>
      <c r="Q1" s="12"/>
      <c r="R1" s="12"/>
      <c r="S1" s="12"/>
      <c r="T1" s="12"/>
      <c r="U1" s="12"/>
      <c r="V1" s="12"/>
      <c r="W1" s="13">
        <v>479426.7</v>
      </c>
      <c r="X1" s="13"/>
      <c r="Y1" s="13"/>
      <c r="Z1" s="14"/>
    </row>
    <row r="2" spans="1:26" ht="11.25" customHeight="1" x14ac:dyDescent="0.3">
      <c r="A2" s="10" t="s">
        <v>334</v>
      </c>
      <c r="B2" s="10"/>
      <c r="C2" s="10"/>
      <c r="D2" s="10"/>
      <c r="E2" s="10"/>
      <c r="F2" s="11" t="s">
        <v>335</v>
      </c>
      <c r="G2" s="11"/>
      <c r="H2" s="11"/>
      <c r="I2" s="11"/>
      <c r="J2" s="11"/>
      <c r="K2" s="11"/>
      <c r="L2" s="11"/>
      <c r="M2" s="11"/>
      <c r="N2" s="12" t="s">
        <v>336</v>
      </c>
      <c r="O2" s="12"/>
      <c r="P2" s="12"/>
      <c r="Q2" s="12"/>
      <c r="R2" s="12"/>
      <c r="S2" s="12"/>
      <c r="T2" s="12"/>
      <c r="U2" s="12"/>
      <c r="V2" s="12"/>
      <c r="W2" s="13">
        <v>558660.78</v>
      </c>
      <c r="X2" s="13"/>
      <c r="Y2" s="13"/>
      <c r="Z2" s="14"/>
    </row>
    <row r="3" spans="1:26" ht="11.25" customHeight="1" x14ac:dyDescent="0.3">
      <c r="A3" s="10" t="s">
        <v>337</v>
      </c>
      <c r="B3" s="10"/>
      <c r="C3" s="10"/>
      <c r="D3" s="10"/>
      <c r="E3" s="10"/>
      <c r="F3" s="16">
        <v>45412</v>
      </c>
      <c r="G3" s="16"/>
      <c r="H3" s="16"/>
      <c r="I3" s="16"/>
      <c r="J3" s="16"/>
      <c r="K3" s="16"/>
      <c r="L3" s="16"/>
      <c r="M3" s="16"/>
      <c r="N3" s="12" t="s">
        <v>338</v>
      </c>
      <c r="O3" s="12"/>
      <c r="P3" s="12"/>
      <c r="Q3" s="12"/>
      <c r="R3" s="12"/>
      <c r="S3" s="12"/>
      <c r="T3" s="12"/>
      <c r="U3" s="12"/>
      <c r="V3" s="12"/>
      <c r="W3" s="17">
        <v>-79234.080000000002</v>
      </c>
      <c r="X3" s="17"/>
      <c r="Y3" s="17"/>
      <c r="Z3" s="14"/>
    </row>
    <row r="4" spans="1:26" ht="11.25" customHeigh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2" t="s">
        <v>339</v>
      </c>
      <c r="O4" s="12"/>
      <c r="P4" s="12"/>
      <c r="Q4" s="12"/>
      <c r="R4" s="12"/>
      <c r="S4" s="12"/>
      <c r="T4" s="12"/>
      <c r="U4" s="12"/>
      <c r="V4" s="12"/>
      <c r="W4" s="19">
        <v>0</v>
      </c>
      <c r="X4" s="19"/>
      <c r="Y4" s="19"/>
      <c r="Z4" s="14"/>
    </row>
    <row r="5" spans="1:26" ht="15.45" customHeight="1" x14ac:dyDescent="0.3">
      <c r="A5" s="14"/>
      <c r="B5" s="14"/>
      <c r="C5" s="18"/>
      <c r="D5" s="18"/>
      <c r="E5" s="14"/>
      <c r="F5" s="18"/>
      <c r="G5" s="18"/>
      <c r="H5" s="14"/>
      <c r="I5" s="14"/>
      <c r="J5" s="18"/>
      <c r="K5" s="18"/>
      <c r="L5" s="14"/>
      <c r="M5" s="14"/>
      <c r="N5" s="18"/>
      <c r="O5" s="18"/>
      <c r="P5" s="18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1.25" customHeight="1" x14ac:dyDescent="0.3">
      <c r="A6" s="14"/>
      <c r="B6" s="20" t="s">
        <v>610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</row>
    <row r="7" spans="1:26" ht="6" customHeight="1" x14ac:dyDescent="0.3">
      <c r="A7" s="14"/>
      <c r="B7" s="14"/>
      <c r="C7" s="18"/>
      <c r="D7" s="18"/>
      <c r="E7" s="14"/>
      <c r="F7" s="18"/>
      <c r="G7" s="18"/>
      <c r="H7" s="14"/>
      <c r="I7" s="14"/>
      <c r="J7" s="18"/>
      <c r="K7" s="18"/>
      <c r="L7" s="14"/>
      <c r="M7" s="14"/>
      <c r="N7" s="18"/>
      <c r="O7" s="18"/>
      <c r="P7" s="18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22.5" customHeight="1" x14ac:dyDescent="0.3">
      <c r="A8" s="21" t="s">
        <v>340</v>
      </c>
      <c r="B8" s="21"/>
      <c r="C8" s="21"/>
      <c r="D8" s="21"/>
      <c r="E8" s="21"/>
      <c r="F8" s="21"/>
      <c r="G8" s="21"/>
      <c r="H8" s="22"/>
      <c r="I8" s="23" t="s">
        <v>341</v>
      </c>
      <c r="J8" s="23"/>
      <c r="K8" s="23"/>
      <c r="L8" s="22"/>
      <c r="M8" s="24" t="s">
        <v>342</v>
      </c>
      <c r="N8" s="24"/>
      <c r="O8" s="24"/>
      <c r="P8" s="24"/>
      <c r="Q8" s="22"/>
      <c r="R8" s="25" t="s">
        <v>343</v>
      </c>
      <c r="S8" s="22"/>
      <c r="T8" s="25" t="s">
        <v>344</v>
      </c>
      <c r="U8" s="22"/>
      <c r="V8" s="24" t="s">
        <v>345</v>
      </c>
      <c r="W8" s="24"/>
      <c r="X8" s="22"/>
      <c r="Y8" s="26" t="s">
        <v>346</v>
      </c>
      <c r="Z8" s="22"/>
    </row>
    <row r="9" spans="1:26" ht="13.05" customHeight="1" x14ac:dyDescent="0.3">
      <c r="A9" s="27">
        <v>1036</v>
      </c>
      <c r="B9" s="27"/>
      <c r="C9" s="27"/>
      <c r="D9" s="27"/>
      <c r="E9" s="27"/>
      <c r="F9" s="27"/>
      <c r="G9" s="27"/>
      <c r="H9" s="14"/>
      <c r="I9" s="28" t="s">
        <v>347</v>
      </c>
      <c r="J9" s="28"/>
      <c r="K9" s="28"/>
      <c r="L9" s="14"/>
      <c r="M9" s="29">
        <v>0</v>
      </c>
      <c r="N9" s="29"/>
      <c r="O9" s="29"/>
      <c r="P9" s="29"/>
      <c r="Q9" s="14"/>
      <c r="R9" s="30">
        <v>204.74</v>
      </c>
      <c r="S9" s="14"/>
      <c r="T9" s="30">
        <v>-204.74</v>
      </c>
      <c r="U9" s="14"/>
      <c r="V9" s="29">
        <v>0</v>
      </c>
      <c r="W9" s="29"/>
      <c r="X9" s="14"/>
      <c r="Y9" s="31"/>
      <c r="Z9" s="14"/>
    </row>
    <row r="10" spans="1:26" ht="12" customHeight="1" x14ac:dyDescent="0.3">
      <c r="A10" s="32">
        <v>1067</v>
      </c>
      <c r="B10" s="32"/>
      <c r="C10" s="32"/>
      <c r="D10" s="32"/>
      <c r="E10" s="32"/>
      <c r="F10" s="32"/>
      <c r="G10" s="32"/>
      <c r="H10" s="14"/>
      <c r="I10" s="33" t="s">
        <v>347</v>
      </c>
      <c r="J10" s="33"/>
      <c r="K10" s="33"/>
      <c r="L10" s="14"/>
      <c r="M10" s="34">
        <v>0</v>
      </c>
      <c r="N10" s="34"/>
      <c r="O10" s="34"/>
      <c r="P10" s="34"/>
      <c r="Q10" s="14"/>
      <c r="R10" s="35">
        <v>737.07</v>
      </c>
      <c r="S10" s="14"/>
      <c r="T10" s="35">
        <v>-737.07</v>
      </c>
      <c r="U10" s="14"/>
      <c r="V10" s="34">
        <v>0</v>
      </c>
      <c r="W10" s="34"/>
      <c r="X10" s="14"/>
      <c r="Y10" s="14"/>
      <c r="Z10" s="14"/>
    </row>
    <row r="11" spans="1:26" ht="12" customHeight="1" x14ac:dyDescent="0.3">
      <c r="A11" s="32">
        <v>1091</v>
      </c>
      <c r="B11" s="32"/>
      <c r="C11" s="32"/>
      <c r="D11" s="32"/>
      <c r="E11" s="32"/>
      <c r="F11" s="32"/>
      <c r="G11" s="32"/>
      <c r="H11" s="14"/>
      <c r="I11" s="33" t="s">
        <v>347</v>
      </c>
      <c r="J11" s="33"/>
      <c r="K11" s="33"/>
      <c r="L11" s="14"/>
      <c r="M11" s="34">
        <v>0</v>
      </c>
      <c r="N11" s="34"/>
      <c r="O11" s="34"/>
      <c r="P11" s="34"/>
      <c r="Q11" s="14"/>
      <c r="R11" s="35">
        <v>368.54</v>
      </c>
      <c r="S11" s="14"/>
      <c r="T11" s="35">
        <v>-368.54</v>
      </c>
      <c r="U11" s="14"/>
      <c r="V11" s="34">
        <v>0</v>
      </c>
      <c r="W11" s="34"/>
      <c r="X11" s="14"/>
      <c r="Y11" s="14"/>
      <c r="Z11" s="14"/>
    </row>
    <row r="12" spans="1:26" ht="12" customHeight="1" x14ac:dyDescent="0.3">
      <c r="A12" s="32">
        <v>1115</v>
      </c>
      <c r="B12" s="32"/>
      <c r="C12" s="32"/>
      <c r="D12" s="32"/>
      <c r="E12" s="32"/>
      <c r="F12" s="32"/>
      <c r="G12" s="32"/>
      <c r="H12" s="14"/>
      <c r="I12" s="33" t="s">
        <v>347</v>
      </c>
      <c r="J12" s="33"/>
      <c r="K12" s="33"/>
      <c r="L12" s="14"/>
      <c r="M12" s="34">
        <v>0</v>
      </c>
      <c r="N12" s="34"/>
      <c r="O12" s="34"/>
      <c r="P12" s="34"/>
      <c r="Q12" s="14"/>
      <c r="R12" s="35">
        <v>122.85</v>
      </c>
      <c r="S12" s="14"/>
      <c r="T12" s="35">
        <v>-122.85</v>
      </c>
      <c r="U12" s="14"/>
      <c r="V12" s="34">
        <v>0</v>
      </c>
      <c r="W12" s="34"/>
      <c r="X12" s="14"/>
      <c r="Y12" s="14"/>
      <c r="Z12" s="14"/>
    </row>
    <row r="13" spans="1:26" ht="12" customHeight="1" x14ac:dyDescent="0.3">
      <c r="A13" s="32">
        <v>1119</v>
      </c>
      <c r="B13" s="32"/>
      <c r="C13" s="32"/>
      <c r="D13" s="32"/>
      <c r="E13" s="32"/>
      <c r="F13" s="32"/>
      <c r="G13" s="32"/>
      <c r="H13" s="14"/>
      <c r="I13" s="33" t="s">
        <v>347</v>
      </c>
      <c r="J13" s="33"/>
      <c r="K13" s="33"/>
      <c r="L13" s="14"/>
      <c r="M13" s="34">
        <v>0</v>
      </c>
      <c r="N13" s="34"/>
      <c r="O13" s="34"/>
      <c r="P13" s="34"/>
      <c r="Q13" s="14"/>
      <c r="R13" s="35">
        <v>81.900000000000006</v>
      </c>
      <c r="S13" s="14"/>
      <c r="T13" s="35">
        <v>-81.900000000000006</v>
      </c>
      <c r="U13" s="14"/>
      <c r="V13" s="34">
        <v>0</v>
      </c>
      <c r="W13" s="34"/>
      <c r="X13" s="14"/>
      <c r="Y13" s="14"/>
      <c r="Z13" s="14"/>
    </row>
    <row r="14" spans="1:26" ht="12" customHeight="1" x14ac:dyDescent="0.3">
      <c r="A14" s="32">
        <v>1130</v>
      </c>
      <c r="B14" s="32"/>
      <c r="C14" s="32"/>
      <c r="D14" s="32"/>
      <c r="E14" s="32"/>
      <c r="F14" s="32"/>
      <c r="G14" s="32"/>
      <c r="H14" s="14"/>
      <c r="I14" s="33" t="s">
        <v>347</v>
      </c>
      <c r="J14" s="33"/>
      <c r="K14" s="33"/>
      <c r="L14" s="14"/>
      <c r="M14" s="34">
        <v>0</v>
      </c>
      <c r="N14" s="34"/>
      <c r="O14" s="34"/>
      <c r="P14" s="34"/>
      <c r="Q14" s="14"/>
      <c r="R14" s="35">
        <v>122.85</v>
      </c>
      <c r="S14" s="14"/>
      <c r="T14" s="35">
        <v>-122.85</v>
      </c>
      <c r="U14" s="14"/>
      <c r="V14" s="34">
        <v>0</v>
      </c>
      <c r="W14" s="34"/>
      <c r="X14" s="14"/>
      <c r="Y14" s="14"/>
      <c r="Z14" s="14"/>
    </row>
    <row r="15" spans="1:26" ht="12" customHeight="1" x14ac:dyDescent="0.3">
      <c r="A15" s="32">
        <v>1136</v>
      </c>
      <c r="B15" s="32"/>
      <c r="C15" s="32"/>
      <c r="D15" s="32"/>
      <c r="E15" s="32"/>
      <c r="F15" s="32"/>
      <c r="G15" s="32"/>
      <c r="H15" s="14"/>
      <c r="I15" s="33" t="s">
        <v>347</v>
      </c>
      <c r="J15" s="33"/>
      <c r="K15" s="33"/>
      <c r="L15" s="14"/>
      <c r="M15" s="34">
        <v>0</v>
      </c>
      <c r="N15" s="34"/>
      <c r="O15" s="34"/>
      <c r="P15" s="34"/>
      <c r="Q15" s="14"/>
      <c r="R15" s="35">
        <v>81.900000000000006</v>
      </c>
      <c r="S15" s="14"/>
      <c r="T15" s="35">
        <v>-81.900000000000006</v>
      </c>
      <c r="U15" s="14"/>
      <c r="V15" s="34">
        <v>0</v>
      </c>
      <c r="W15" s="34"/>
      <c r="X15" s="14"/>
      <c r="Y15" s="14"/>
      <c r="Z15" s="14"/>
    </row>
    <row r="16" spans="1:26" ht="12" customHeight="1" x14ac:dyDescent="0.3">
      <c r="A16" s="32">
        <v>1158</v>
      </c>
      <c r="B16" s="32"/>
      <c r="C16" s="32"/>
      <c r="D16" s="32"/>
      <c r="E16" s="32"/>
      <c r="F16" s="32"/>
      <c r="G16" s="32"/>
      <c r="H16" s="14"/>
      <c r="I16" s="33" t="s">
        <v>347</v>
      </c>
      <c r="J16" s="33"/>
      <c r="K16" s="33"/>
      <c r="L16" s="14"/>
      <c r="M16" s="34">
        <v>0</v>
      </c>
      <c r="N16" s="34"/>
      <c r="O16" s="34"/>
      <c r="P16" s="34"/>
      <c r="Q16" s="14"/>
      <c r="R16" s="35">
        <v>327.58999999999997</v>
      </c>
      <c r="S16" s="14"/>
      <c r="T16" s="35">
        <v>-327.58999999999997</v>
      </c>
      <c r="U16" s="14"/>
      <c r="V16" s="34">
        <v>0</v>
      </c>
      <c r="W16" s="34"/>
      <c r="X16" s="14"/>
      <c r="Y16" s="14"/>
      <c r="Z16" s="14"/>
    </row>
    <row r="17" spans="1:26" ht="12" customHeight="1" x14ac:dyDescent="0.3">
      <c r="A17" s="32">
        <v>1184</v>
      </c>
      <c r="B17" s="32"/>
      <c r="C17" s="32"/>
      <c r="D17" s="32"/>
      <c r="E17" s="32"/>
      <c r="F17" s="32"/>
      <c r="G17" s="32"/>
      <c r="H17" s="14"/>
      <c r="I17" s="33" t="s">
        <v>347</v>
      </c>
      <c r="J17" s="33"/>
      <c r="K17" s="33"/>
      <c r="L17" s="14"/>
      <c r="M17" s="34">
        <v>0</v>
      </c>
      <c r="N17" s="34"/>
      <c r="O17" s="34"/>
      <c r="P17" s="34"/>
      <c r="Q17" s="14"/>
      <c r="R17" s="35">
        <v>81.900000000000006</v>
      </c>
      <c r="S17" s="14"/>
      <c r="T17" s="35">
        <v>-81.900000000000006</v>
      </c>
      <c r="U17" s="14"/>
      <c r="V17" s="34">
        <v>0</v>
      </c>
      <c r="W17" s="34"/>
      <c r="X17" s="14"/>
      <c r="Y17" s="14"/>
      <c r="Z17" s="14"/>
    </row>
    <row r="18" spans="1:26" ht="12" customHeight="1" x14ac:dyDescent="0.3">
      <c r="A18" s="32">
        <v>1248</v>
      </c>
      <c r="B18" s="32"/>
      <c r="C18" s="32"/>
      <c r="D18" s="32"/>
      <c r="E18" s="32"/>
      <c r="F18" s="32"/>
      <c r="G18" s="32"/>
      <c r="H18" s="14"/>
      <c r="I18" s="33" t="s">
        <v>347</v>
      </c>
      <c r="J18" s="33"/>
      <c r="K18" s="33"/>
      <c r="L18" s="14"/>
      <c r="M18" s="34">
        <v>0</v>
      </c>
      <c r="N18" s="34"/>
      <c r="O18" s="34"/>
      <c r="P18" s="34"/>
      <c r="Q18" s="14"/>
      <c r="R18" s="35">
        <v>71.28</v>
      </c>
      <c r="S18" s="14"/>
      <c r="T18" s="35">
        <v>-71.28</v>
      </c>
      <c r="U18" s="14"/>
      <c r="V18" s="34">
        <v>0</v>
      </c>
      <c r="W18" s="34"/>
      <c r="X18" s="14"/>
      <c r="Y18" s="14"/>
      <c r="Z18" s="14"/>
    </row>
    <row r="19" spans="1:26" ht="12" customHeight="1" x14ac:dyDescent="0.3">
      <c r="A19" s="32">
        <v>1256</v>
      </c>
      <c r="B19" s="32"/>
      <c r="C19" s="32"/>
      <c r="D19" s="32"/>
      <c r="E19" s="32"/>
      <c r="F19" s="32"/>
      <c r="G19" s="32"/>
      <c r="H19" s="14"/>
      <c r="I19" s="33" t="s">
        <v>347</v>
      </c>
      <c r="J19" s="33"/>
      <c r="K19" s="33"/>
      <c r="L19" s="14"/>
      <c r="M19" s="34">
        <v>0</v>
      </c>
      <c r="N19" s="34"/>
      <c r="O19" s="34"/>
      <c r="P19" s="34"/>
      <c r="Q19" s="14"/>
      <c r="R19" s="35">
        <v>78.739999999999995</v>
      </c>
      <c r="S19" s="14"/>
      <c r="T19" s="35">
        <v>-78.739999999999995</v>
      </c>
      <c r="U19" s="14"/>
      <c r="V19" s="34">
        <v>0</v>
      </c>
      <c r="W19" s="34"/>
      <c r="X19" s="14"/>
      <c r="Y19" s="14"/>
      <c r="Z19" s="14"/>
    </row>
    <row r="20" spans="1:26" ht="12" customHeight="1" x14ac:dyDescent="0.3">
      <c r="A20" s="32">
        <v>1265</v>
      </c>
      <c r="B20" s="32"/>
      <c r="C20" s="32"/>
      <c r="D20" s="32"/>
      <c r="E20" s="32"/>
      <c r="F20" s="32"/>
      <c r="G20" s="32"/>
      <c r="H20" s="14"/>
      <c r="I20" s="33" t="s">
        <v>347</v>
      </c>
      <c r="J20" s="33"/>
      <c r="K20" s="33"/>
      <c r="L20" s="14"/>
      <c r="M20" s="34">
        <v>0</v>
      </c>
      <c r="N20" s="34"/>
      <c r="O20" s="34"/>
      <c r="P20" s="34"/>
      <c r="Q20" s="14"/>
      <c r="R20" s="35">
        <v>109.43</v>
      </c>
      <c r="S20" s="14"/>
      <c r="T20" s="35">
        <v>-109.43</v>
      </c>
      <c r="U20" s="14"/>
      <c r="V20" s="34">
        <v>0</v>
      </c>
      <c r="W20" s="34"/>
      <c r="X20" s="14"/>
      <c r="Y20" s="14"/>
      <c r="Z20" s="14"/>
    </row>
    <row r="21" spans="1:26" ht="15" customHeight="1" x14ac:dyDescent="0.3">
      <c r="A21" s="32">
        <v>1267</v>
      </c>
      <c r="B21" s="32"/>
      <c r="C21" s="32"/>
      <c r="D21" s="32"/>
      <c r="E21" s="32"/>
      <c r="F21" s="32"/>
      <c r="G21" s="32"/>
      <c r="H21" s="14"/>
      <c r="I21" s="33" t="s">
        <v>347</v>
      </c>
      <c r="J21" s="33"/>
      <c r="K21" s="33"/>
      <c r="L21" s="14"/>
      <c r="M21" s="36">
        <v>0</v>
      </c>
      <c r="N21" s="36"/>
      <c r="O21" s="36"/>
      <c r="P21" s="36"/>
      <c r="Q21" s="14"/>
      <c r="R21" s="37">
        <v>100.92</v>
      </c>
      <c r="S21" s="14"/>
      <c r="T21" s="37">
        <v>-100.92</v>
      </c>
      <c r="U21" s="14"/>
      <c r="V21" s="36">
        <v>0</v>
      </c>
      <c r="W21" s="36"/>
      <c r="X21" s="14"/>
      <c r="Y21" s="14"/>
      <c r="Z21" s="14"/>
    </row>
    <row r="22" spans="1:26" ht="18" customHeight="1" x14ac:dyDescent="0.3">
      <c r="A22" s="38"/>
      <c r="B22" s="38"/>
      <c r="C22" s="38"/>
      <c r="D22" s="38"/>
      <c r="E22" s="38"/>
      <c r="F22" s="38"/>
      <c r="G22" s="38"/>
      <c r="H22" s="22"/>
      <c r="I22" s="38"/>
      <c r="J22" s="38"/>
      <c r="K22" s="38"/>
      <c r="L22" s="22"/>
      <c r="M22" s="29">
        <v>0</v>
      </c>
      <c r="N22" s="29"/>
      <c r="O22" s="29"/>
      <c r="P22" s="29"/>
      <c r="Q22" s="22"/>
      <c r="R22" s="39">
        <v>2489.71</v>
      </c>
      <c r="S22" s="22"/>
      <c r="T22" s="39">
        <v>-2489.71</v>
      </c>
      <c r="U22" s="22"/>
      <c r="V22" s="29">
        <v>0</v>
      </c>
      <c r="W22" s="29"/>
      <c r="X22" s="22"/>
      <c r="Y22" s="22"/>
      <c r="Z22" s="22"/>
    </row>
    <row r="23" spans="1:26" ht="11.25" customHeight="1" x14ac:dyDescent="0.3">
      <c r="A23" s="40" t="s">
        <v>348</v>
      </c>
      <c r="B23" s="40"/>
      <c r="C23" s="40"/>
      <c r="D23" s="40"/>
      <c r="E23" s="40"/>
      <c r="F23" s="40"/>
      <c r="G23" s="40"/>
      <c r="H23" s="40"/>
      <c r="I23" s="40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14"/>
    </row>
    <row r="24" spans="1:26" ht="25.95" customHeight="1" x14ac:dyDescent="0.3">
      <c r="A24" s="38"/>
      <c r="B24" s="38"/>
      <c r="C24" s="10" t="s">
        <v>340</v>
      </c>
      <c r="D24" s="10"/>
      <c r="E24" s="10"/>
      <c r="F24" s="10"/>
      <c r="G24" s="10"/>
      <c r="H24" s="10"/>
      <c r="I24" s="10"/>
      <c r="J24" s="42" t="s">
        <v>341</v>
      </c>
      <c r="K24" s="42"/>
      <c r="L24" s="43" t="s">
        <v>342</v>
      </c>
      <c r="M24" s="43"/>
      <c r="N24" s="43"/>
      <c r="O24" s="43"/>
      <c r="P24" s="43"/>
      <c r="Q24" s="43" t="s">
        <v>343</v>
      </c>
      <c r="R24" s="43"/>
      <c r="S24" s="10" t="s">
        <v>344</v>
      </c>
      <c r="T24" s="10"/>
      <c r="U24" s="43" t="s">
        <v>345</v>
      </c>
      <c r="V24" s="43"/>
      <c r="W24" s="43"/>
      <c r="X24" s="44" t="s">
        <v>346</v>
      </c>
      <c r="Y24" s="44"/>
      <c r="Z24" s="22"/>
    </row>
    <row r="25" spans="1:26" ht="15" customHeight="1" x14ac:dyDescent="0.3">
      <c r="A25" s="32">
        <v>1068</v>
      </c>
      <c r="B25" s="32"/>
      <c r="C25" s="32"/>
      <c r="D25" s="32"/>
      <c r="E25" s="32"/>
      <c r="F25" s="32"/>
      <c r="G25" s="32"/>
      <c r="H25" s="14"/>
      <c r="I25" s="33" t="s">
        <v>347</v>
      </c>
      <c r="J25" s="33"/>
      <c r="K25" s="33"/>
      <c r="L25" s="33"/>
      <c r="M25" s="45">
        <v>1315.07</v>
      </c>
      <c r="N25" s="45"/>
      <c r="O25" s="45"/>
      <c r="P25" s="45"/>
      <c r="Q25" s="14"/>
      <c r="R25" s="46">
        <v>1315.07</v>
      </c>
      <c r="S25" s="14"/>
      <c r="T25" s="47">
        <v>0</v>
      </c>
      <c r="U25" s="14"/>
      <c r="V25" s="48">
        <v>0</v>
      </c>
      <c r="W25" s="48"/>
      <c r="X25" s="14"/>
      <c r="Y25" s="14"/>
      <c r="Z25" s="14"/>
    </row>
    <row r="26" spans="1:26" ht="18" customHeight="1" x14ac:dyDescent="0.3">
      <c r="A26" s="38"/>
      <c r="B26" s="38"/>
      <c r="C26" s="38"/>
      <c r="D26" s="38"/>
      <c r="E26" s="38"/>
      <c r="F26" s="38"/>
      <c r="G26" s="38"/>
      <c r="H26" s="22"/>
      <c r="I26" s="38"/>
      <c r="J26" s="38"/>
      <c r="K26" s="38"/>
      <c r="L26" s="38"/>
      <c r="M26" s="49">
        <v>1315.07</v>
      </c>
      <c r="N26" s="49"/>
      <c r="O26" s="49"/>
      <c r="P26" s="49"/>
      <c r="Q26" s="22"/>
      <c r="R26" s="39">
        <v>1315.07</v>
      </c>
      <c r="S26" s="22"/>
      <c r="T26" s="30">
        <v>0</v>
      </c>
      <c r="U26" s="22"/>
      <c r="V26" s="29">
        <v>0</v>
      </c>
      <c r="W26" s="29"/>
      <c r="X26" s="22"/>
      <c r="Y26" s="22"/>
      <c r="Z26" s="22"/>
    </row>
    <row r="27" spans="1:26" ht="12" customHeight="1" x14ac:dyDescent="0.3">
      <c r="A27" s="40" t="s">
        <v>349</v>
      </c>
      <c r="B27" s="40"/>
      <c r="C27" s="40"/>
      <c r="D27" s="40"/>
      <c r="E27" s="40"/>
      <c r="F27" s="40"/>
      <c r="G27" s="40"/>
      <c r="H27" s="20" t="s">
        <v>350</v>
      </c>
      <c r="I27" s="20"/>
      <c r="J27" s="20"/>
      <c r="K27" s="20"/>
      <c r="L27" s="20"/>
      <c r="M27" s="41"/>
      <c r="N27" s="41"/>
      <c r="O27" s="41"/>
      <c r="P27" s="41"/>
      <c r="Q27" s="50"/>
      <c r="R27" s="50"/>
      <c r="S27" s="50"/>
      <c r="T27" s="50"/>
      <c r="U27" s="50"/>
      <c r="V27" s="41"/>
      <c r="W27" s="41"/>
      <c r="X27" s="50"/>
      <c r="Y27" s="50"/>
      <c r="Z27" s="14"/>
    </row>
    <row r="28" spans="1:26" ht="25.05" customHeight="1" x14ac:dyDescent="0.3">
      <c r="A28" s="21" t="s">
        <v>340</v>
      </c>
      <c r="B28" s="21"/>
      <c r="C28" s="21"/>
      <c r="D28" s="21"/>
      <c r="E28" s="21"/>
      <c r="F28" s="21"/>
      <c r="G28" s="21"/>
      <c r="H28" s="22"/>
      <c r="I28" s="51" t="s">
        <v>341</v>
      </c>
      <c r="J28" s="51"/>
      <c r="K28" s="51"/>
      <c r="L28" s="51"/>
      <c r="M28" s="24" t="s">
        <v>342</v>
      </c>
      <c r="N28" s="24"/>
      <c r="O28" s="24"/>
      <c r="P28" s="24"/>
      <c r="Q28" s="22"/>
      <c r="R28" s="25" t="s">
        <v>343</v>
      </c>
      <c r="S28" s="22"/>
      <c r="T28" s="25" t="s">
        <v>344</v>
      </c>
      <c r="U28" s="22"/>
      <c r="V28" s="24" t="s">
        <v>345</v>
      </c>
      <c r="W28" s="24"/>
      <c r="X28" s="22"/>
      <c r="Y28" s="52" t="s">
        <v>346</v>
      </c>
      <c r="Z28" s="22"/>
    </row>
    <row r="29" spans="1:26" ht="13.05" customHeight="1" x14ac:dyDescent="0.3">
      <c r="A29" s="32">
        <v>1105</v>
      </c>
      <c r="B29" s="32"/>
      <c r="C29" s="32"/>
      <c r="D29" s="32"/>
      <c r="E29" s="32"/>
      <c r="F29" s="32"/>
      <c r="G29" s="32"/>
      <c r="H29" s="14"/>
      <c r="I29" s="33" t="s">
        <v>347</v>
      </c>
      <c r="J29" s="33"/>
      <c r="K29" s="33"/>
      <c r="L29" s="33"/>
      <c r="M29" s="49">
        <v>3821.92</v>
      </c>
      <c r="N29" s="49"/>
      <c r="O29" s="49"/>
      <c r="P29" s="49"/>
      <c r="Q29" s="14"/>
      <c r="R29" s="39">
        <v>3821.92</v>
      </c>
      <c r="S29" s="14"/>
      <c r="T29" s="30">
        <v>0</v>
      </c>
      <c r="U29" s="14"/>
      <c r="V29" s="29">
        <v>0</v>
      </c>
      <c r="W29" s="29"/>
      <c r="X29" s="14"/>
      <c r="Y29" s="14"/>
      <c r="Z29" s="14"/>
    </row>
    <row r="30" spans="1:26" ht="15" customHeight="1" x14ac:dyDescent="0.3">
      <c r="A30" s="32">
        <v>1243</v>
      </c>
      <c r="B30" s="32"/>
      <c r="C30" s="32"/>
      <c r="D30" s="32"/>
      <c r="E30" s="32"/>
      <c r="F30" s="32"/>
      <c r="G30" s="32"/>
      <c r="H30" s="14"/>
      <c r="I30" s="33" t="s">
        <v>347</v>
      </c>
      <c r="J30" s="33"/>
      <c r="K30" s="33"/>
      <c r="L30" s="33"/>
      <c r="M30" s="53">
        <v>1223.01</v>
      </c>
      <c r="N30" s="53"/>
      <c r="O30" s="53"/>
      <c r="P30" s="53"/>
      <c r="Q30" s="14"/>
      <c r="R30" s="54">
        <v>1223.01</v>
      </c>
      <c r="S30" s="14"/>
      <c r="T30" s="37">
        <v>0</v>
      </c>
      <c r="U30" s="14"/>
      <c r="V30" s="36">
        <v>0</v>
      </c>
      <c r="W30" s="36"/>
      <c r="X30" s="14"/>
      <c r="Y30" s="14"/>
      <c r="Z30" s="14"/>
    </row>
    <row r="31" spans="1:26" ht="18" customHeight="1" x14ac:dyDescent="0.3">
      <c r="A31" s="38"/>
      <c r="B31" s="38"/>
      <c r="C31" s="38"/>
      <c r="D31" s="38"/>
      <c r="E31" s="38"/>
      <c r="F31" s="38"/>
      <c r="G31" s="38"/>
      <c r="H31" s="22"/>
      <c r="I31" s="38"/>
      <c r="J31" s="38"/>
      <c r="K31" s="38"/>
      <c r="L31" s="38"/>
      <c r="M31" s="49">
        <v>5044.93</v>
      </c>
      <c r="N31" s="49"/>
      <c r="O31" s="49"/>
      <c r="P31" s="49"/>
      <c r="Q31" s="22"/>
      <c r="R31" s="39">
        <v>5044.93</v>
      </c>
      <c r="S31" s="22"/>
      <c r="T31" s="30">
        <v>0</v>
      </c>
      <c r="U31" s="22"/>
      <c r="V31" s="29">
        <v>0</v>
      </c>
      <c r="W31" s="29"/>
      <c r="X31" s="22"/>
      <c r="Y31" s="22"/>
      <c r="Z31" s="22"/>
    </row>
    <row r="32" spans="1:26" ht="11.25" customHeight="1" x14ac:dyDescent="0.3">
      <c r="A32" s="40" t="s">
        <v>351</v>
      </c>
      <c r="B32" s="40"/>
      <c r="C32" s="40"/>
      <c r="D32" s="40"/>
      <c r="E32" s="40"/>
      <c r="F32" s="40"/>
      <c r="G32" s="40"/>
      <c r="H32" s="40"/>
      <c r="I32" s="40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14"/>
    </row>
    <row r="33" spans="1:26" ht="25.95" customHeight="1" x14ac:dyDescent="0.3">
      <c r="A33" s="38"/>
      <c r="B33" s="38"/>
      <c r="C33" s="10" t="s">
        <v>340</v>
      </c>
      <c r="D33" s="10"/>
      <c r="E33" s="10"/>
      <c r="F33" s="10"/>
      <c r="G33" s="10"/>
      <c r="H33" s="10"/>
      <c r="I33" s="10"/>
      <c r="J33" s="42" t="s">
        <v>341</v>
      </c>
      <c r="K33" s="42"/>
      <c r="L33" s="43" t="s">
        <v>342</v>
      </c>
      <c r="M33" s="43"/>
      <c r="N33" s="43"/>
      <c r="O33" s="43"/>
      <c r="P33" s="43"/>
      <c r="Q33" s="43" t="s">
        <v>343</v>
      </c>
      <c r="R33" s="43"/>
      <c r="S33" s="10" t="s">
        <v>344</v>
      </c>
      <c r="T33" s="10"/>
      <c r="U33" s="43" t="s">
        <v>345</v>
      </c>
      <c r="V33" s="43"/>
      <c r="W33" s="43"/>
      <c r="X33" s="44" t="s">
        <v>346</v>
      </c>
      <c r="Y33" s="44"/>
      <c r="Z33" s="22"/>
    </row>
    <row r="34" spans="1:26" ht="13.05" customHeight="1" x14ac:dyDescent="0.3">
      <c r="A34" s="55">
        <v>1071</v>
      </c>
      <c r="B34" s="55"/>
      <c r="C34" s="55"/>
      <c r="D34" s="55"/>
      <c r="E34" s="11" t="s">
        <v>347</v>
      </c>
      <c r="F34" s="11"/>
      <c r="G34" s="11"/>
      <c r="H34" s="11"/>
      <c r="I34" s="11"/>
      <c r="J34" s="11"/>
      <c r="K34" s="11"/>
      <c r="L34" s="11"/>
      <c r="M34" s="49">
        <v>3287.67</v>
      </c>
      <c r="N34" s="49"/>
      <c r="O34" s="49"/>
      <c r="P34" s="49"/>
      <c r="Q34" s="14"/>
      <c r="R34" s="39">
        <v>3287.67</v>
      </c>
      <c r="S34" s="14"/>
      <c r="T34" s="30">
        <v>0</v>
      </c>
      <c r="U34" s="14"/>
      <c r="V34" s="56">
        <v>0</v>
      </c>
      <c r="W34" s="56"/>
      <c r="X34" s="56"/>
      <c r="Y34" s="56"/>
      <c r="Z34" s="14"/>
    </row>
    <row r="35" spans="1:26" ht="12" customHeight="1" x14ac:dyDescent="0.3">
      <c r="A35" s="55">
        <v>1088</v>
      </c>
      <c r="B35" s="55"/>
      <c r="C35" s="55"/>
      <c r="D35" s="55"/>
      <c r="E35" s="11" t="s">
        <v>347</v>
      </c>
      <c r="F35" s="11"/>
      <c r="G35" s="11"/>
      <c r="H35" s="11"/>
      <c r="I35" s="11"/>
      <c r="J35" s="11"/>
      <c r="K35" s="11"/>
      <c r="L35" s="11"/>
      <c r="M35" s="34">
        <v>0</v>
      </c>
      <c r="N35" s="34"/>
      <c r="O35" s="34"/>
      <c r="P35" s="34"/>
      <c r="Q35" s="14"/>
      <c r="R35" s="57">
        <v>2438.13</v>
      </c>
      <c r="S35" s="14"/>
      <c r="T35" s="57">
        <v>-2438.13</v>
      </c>
      <c r="U35" s="14"/>
      <c r="V35" s="56">
        <v>0</v>
      </c>
      <c r="W35" s="56"/>
      <c r="X35" s="56"/>
      <c r="Y35" s="56"/>
      <c r="Z35" s="14"/>
    </row>
    <row r="36" spans="1:26" ht="12" customHeight="1" x14ac:dyDescent="0.3">
      <c r="A36" s="55">
        <v>1104</v>
      </c>
      <c r="B36" s="55"/>
      <c r="C36" s="55"/>
      <c r="D36" s="55"/>
      <c r="E36" s="11" t="s">
        <v>347</v>
      </c>
      <c r="F36" s="11"/>
      <c r="G36" s="11"/>
      <c r="H36" s="11"/>
      <c r="I36" s="11"/>
      <c r="J36" s="11"/>
      <c r="K36" s="11"/>
      <c r="L36" s="11"/>
      <c r="M36" s="34">
        <v>0</v>
      </c>
      <c r="N36" s="34"/>
      <c r="O36" s="34"/>
      <c r="P36" s="34"/>
      <c r="Q36" s="14"/>
      <c r="R36" s="57">
        <v>2031.78</v>
      </c>
      <c r="S36" s="14"/>
      <c r="T36" s="57">
        <v>-2031.78</v>
      </c>
      <c r="U36" s="14"/>
      <c r="V36" s="56">
        <v>0</v>
      </c>
      <c r="W36" s="56"/>
      <c r="X36" s="56"/>
      <c r="Y36" s="56"/>
      <c r="Z36" s="14"/>
    </row>
    <row r="37" spans="1:26" ht="12" customHeight="1" x14ac:dyDescent="0.3">
      <c r="A37" s="55">
        <v>1169</v>
      </c>
      <c r="B37" s="55"/>
      <c r="C37" s="55"/>
      <c r="D37" s="55"/>
      <c r="E37" s="11" t="s">
        <v>347</v>
      </c>
      <c r="F37" s="11"/>
      <c r="G37" s="11"/>
      <c r="H37" s="11"/>
      <c r="I37" s="11"/>
      <c r="J37" s="11"/>
      <c r="K37" s="11"/>
      <c r="L37" s="11"/>
      <c r="M37" s="34">
        <v>0</v>
      </c>
      <c r="N37" s="34"/>
      <c r="O37" s="34"/>
      <c r="P37" s="34"/>
      <c r="Q37" s="14"/>
      <c r="R37" s="57">
        <v>8127.1</v>
      </c>
      <c r="S37" s="14"/>
      <c r="T37" s="57">
        <v>-8127.1</v>
      </c>
      <c r="U37" s="14"/>
      <c r="V37" s="56">
        <v>0</v>
      </c>
      <c r="W37" s="56"/>
      <c r="X37" s="56"/>
      <c r="Y37" s="56"/>
      <c r="Z37" s="14"/>
    </row>
    <row r="38" spans="1:26" ht="12" customHeight="1" x14ac:dyDescent="0.3">
      <c r="A38" s="55">
        <v>1212</v>
      </c>
      <c r="B38" s="55"/>
      <c r="C38" s="55"/>
      <c r="D38" s="55"/>
      <c r="E38" s="11" t="s">
        <v>347</v>
      </c>
      <c r="F38" s="11"/>
      <c r="G38" s="11"/>
      <c r="H38" s="11"/>
      <c r="I38" s="11"/>
      <c r="J38" s="11"/>
      <c r="K38" s="11"/>
      <c r="L38" s="11"/>
      <c r="M38" s="34">
        <v>0</v>
      </c>
      <c r="N38" s="34"/>
      <c r="O38" s="34"/>
      <c r="P38" s="34"/>
      <c r="Q38" s="14"/>
      <c r="R38" s="57">
        <v>5688.97</v>
      </c>
      <c r="S38" s="14"/>
      <c r="T38" s="57">
        <v>-5688.97</v>
      </c>
      <c r="U38" s="14"/>
      <c r="V38" s="56">
        <v>0</v>
      </c>
      <c r="W38" s="56"/>
      <c r="X38" s="56"/>
      <c r="Y38" s="56"/>
      <c r="Z38" s="14"/>
    </row>
    <row r="39" spans="1:26" ht="13.95" customHeight="1" x14ac:dyDescent="0.3">
      <c r="A39" s="55">
        <v>1237</v>
      </c>
      <c r="B39" s="55"/>
      <c r="C39" s="55"/>
      <c r="D39" s="55"/>
      <c r="E39" s="11" t="s">
        <v>347</v>
      </c>
      <c r="F39" s="11"/>
      <c r="G39" s="11"/>
      <c r="H39" s="11"/>
      <c r="I39" s="11"/>
      <c r="J39" s="11"/>
      <c r="K39" s="11"/>
      <c r="L39" s="11"/>
      <c r="M39" s="53">
        <v>5732.88</v>
      </c>
      <c r="N39" s="53"/>
      <c r="O39" s="53"/>
      <c r="P39" s="53"/>
      <c r="Q39" s="14"/>
      <c r="R39" s="54">
        <v>5732.88</v>
      </c>
      <c r="S39" s="14"/>
      <c r="T39" s="37">
        <v>0</v>
      </c>
      <c r="U39" s="14"/>
      <c r="V39" s="56">
        <v>0</v>
      </c>
      <c r="W39" s="56"/>
      <c r="X39" s="56"/>
      <c r="Y39" s="56"/>
      <c r="Z39" s="14"/>
    </row>
    <row r="40" spans="1:26" ht="18" customHeight="1" x14ac:dyDescent="0.3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49">
        <v>9020.5499999999993</v>
      </c>
      <c r="N40" s="49"/>
      <c r="O40" s="49"/>
      <c r="P40" s="49"/>
      <c r="Q40" s="22"/>
      <c r="R40" s="39">
        <v>27306.53</v>
      </c>
      <c r="S40" s="22"/>
      <c r="T40" s="39">
        <v>-18285.98</v>
      </c>
      <c r="U40" s="22"/>
      <c r="V40" s="56">
        <v>0</v>
      </c>
      <c r="W40" s="56"/>
      <c r="X40" s="56"/>
      <c r="Y40" s="56"/>
      <c r="Z40" s="22"/>
    </row>
    <row r="41" spans="1:26" ht="11.25" customHeight="1" x14ac:dyDescent="0.3">
      <c r="A41" s="58">
        <v>1009</v>
      </c>
      <c r="B41" s="58"/>
      <c r="C41" s="58"/>
      <c r="D41" s="58"/>
      <c r="E41" s="59" t="s">
        <v>352</v>
      </c>
      <c r="F41" s="59"/>
      <c r="G41" s="59"/>
      <c r="H41" s="59"/>
      <c r="I41" s="59"/>
      <c r="J41" s="59"/>
      <c r="K41" s="59"/>
      <c r="L41" s="59"/>
      <c r="M41" s="41"/>
      <c r="N41" s="41"/>
      <c r="O41" s="41"/>
      <c r="P41" s="41"/>
      <c r="Q41" s="50"/>
      <c r="R41" s="50"/>
      <c r="S41" s="50"/>
      <c r="T41" s="50"/>
      <c r="U41" s="50"/>
      <c r="V41" s="41"/>
      <c r="W41" s="41"/>
      <c r="X41" s="41"/>
      <c r="Y41" s="41"/>
      <c r="Z41" s="14"/>
    </row>
    <row r="42" spans="1:26" ht="25.95" customHeight="1" x14ac:dyDescent="0.3">
      <c r="A42" s="21" t="s">
        <v>340</v>
      </c>
      <c r="B42" s="21"/>
      <c r="C42" s="21"/>
      <c r="D42" s="21"/>
      <c r="E42" s="21"/>
      <c r="F42" s="21"/>
      <c r="G42" s="21"/>
      <c r="H42" s="22"/>
      <c r="I42" s="23" t="s">
        <v>341</v>
      </c>
      <c r="J42" s="23"/>
      <c r="K42" s="23"/>
      <c r="L42" s="22"/>
      <c r="M42" s="24" t="s">
        <v>342</v>
      </c>
      <c r="N42" s="24"/>
      <c r="O42" s="24"/>
      <c r="P42" s="24"/>
      <c r="Q42" s="22"/>
      <c r="R42" s="25" t="s">
        <v>343</v>
      </c>
      <c r="S42" s="22"/>
      <c r="T42" s="25" t="s">
        <v>344</v>
      </c>
      <c r="U42" s="22"/>
      <c r="V42" s="24" t="s">
        <v>345</v>
      </c>
      <c r="W42" s="24"/>
      <c r="X42" s="22"/>
      <c r="Y42" s="26" t="s">
        <v>346</v>
      </c>
      <c r="Z42" s="22"/>
    </row>
    <row r="43" spans="1:26" ht="13.05" customHeight="1" x14ac:dyDescent="0.3">
      <c r="A43" s="27">
        <v>1077</v>
      </c>
      <c r="B43" s="27"/>
      <c r="C43" s="27"/>
      <c r="D43" s="27"/>
      <c r="E43" s="27"/>
      <c r="F43" s="27"/>
      <c r="G43" s="27"/>
      <c r="H43" s="14"/>
      <c r="I43" s="28" t="s">
        <v>347</v>
      </c>
      <c r="J43" s="28"/>
      <c r="K43" s="28"/>
      <c r="L43" s="14"/>
      <c r="M43" s="60">
        <v>657.53</v>
      </c>
      <c r="N43" s="60"/>
      <c r="O43" s="60"/>
      <c r="P43" s="60"/>
      <c r="Q43" s="14"/>
      <c r="R43" s="30">
        <v>657.53</v>
      </c>
      <c r="S43" s="14"/>
      <c r="T43" s="30">
        <v>0</v>
      </c>
      <c r="U43" s="14"/>
      <c r="V43" s="29">
        <v>0</v>
      </c>
      <c r="W43" s="29"/>
      <c r="X43" s="14"/>
      <c r="Y43" s="31"/>
      <c r="Z43" s="14"/>
    </row>
    <row r="44" spans="1:26" ht="12" customHeight="1" x14ac:dyDescent="0.3">
      <c r="A44" s="32">
        <v>1151</v>
      </c>
      <c r="B44" s="32"/>
      <c r="C44" s="32"/>
      <c r="D44" s="32"/>
      <c r="E44" s="32"/>
      <c r="F44" s="32"/>
      <c r="G44" s="32"/>
      <c r="H44" s="14"/>
      <c r="I44" s="33" t="s">
        <v>347</v>
      </c>
      <c r="J44" s="33"/>
      <c r="K44" s="33"/>
      <c r="L44" s="14"/>
      <c r="M44" s="61">
        <v>657.53</v>
      </c>
      <c r="N44" s="61"/>
      <c r="O44" s="61"/>
      <c r="P44" s="61"/>
      <c r="Q44" s="14"/>
      <c r="R44" s="35">
        <v>657.53</v>
      </c>
      <c r="S44" s="14"/>
      <c r="T44" s="35">
        <v>0</v>
      </c>
      <c r="U44" s="14"/>
      <c r="V44" s="34">
        <v>0</v>
      </c>
      <c r="W44" s="34"/>
      <c r="X44" s="14"/>
      <c r="Y44" s="14"/>
      <c r="Z44" s="14"/>
    </row>
    <row r="45" spans="1:26" ht="15" customHeight="1" x14ac:dyDescent="0.3">
      <c r="A45" s="32">
        <v>1296</v>
      </c>
      <c r="B45" s="32"/>
      <c r="C45" s="32"/>
      <c r="D45" s="32"/>
      <c r="E45" s="32"/>
      <c r="F45" s="32"/>
      <c r="G45" s="32"/>
      <c r="H45" s="14"/>
      <c r="I45" s="33" t="s">
        <v>353</v>
      </c>
      <c r="J45" s="33"/>
      <c r="K45" s="33"/>
      <c r="L45" s="14"/>
      <c r="M45" s="62">
        <v>151.22999999999999</v>
      </c>
      <c r="N45" s="62"/>
      <c r="O45" s="62"/>
      <c r="P45" s="62"/>
      <c r="Q45" s="14"/>
      <c r="R45" s="37">
        <v>151.22999999999999</v>
      </c>
      <c r="S45" s="14"/>
      <c r="T45" s="37">
        <v>0</v>
      </c>
      <c r="U45" s="14"/>
      <c r="V45" s="36">
        <v>0</v>
      </c>
      <c r="W45" s="36"/>
      <c r="X45" s="14"/>
      <c r="Y45" s="14"/>
      <c r="Z45" s="14"/>
    </row>
    <row r="46" spans="1:26" ht="11.25" customHeight="1" x14ac:dyDescent="0.3">
      <c r="A46" s="18"/>
      <c r="B46" s="18"/>
      <c r="C46" s="18"/>
      <c r="D46" s="18"/>
      <c r="E46" s="18"/>
      <c r="F46" s="18"/>
      <c r="G46" s="18"/>
      <c r="H46" s="14"/>
      <c r="I46" s="18"/>
      <c r="J46" s="18"/>
      <c r="K46" s="18"/>
      <c r="L46" s="14"/>
      <c r="M46" s="49">
        <v>1466.29</v>
      </c>
      <c r="N46" s="49"/>
      <c r="O46" s="49"/>
      <c r="P46" s="49"/>
      <c r="Q46" s="14"/>
      <c r="R46" s="39">
        <v>1466.29</v>
      </c>
      <c r="S46" s="14"/>
      <c r="T46" s="30">
        <v>0</v>
      </c>
      <c r="U46" s="14"/>
      <c r="V46" s="29">
        <v>0</v>
      </c>
      <c r="W46" s="29"/>
      <c r="X46" s="14"/>
      <c r="Y46" s="14"/>
      <c r="Z46" s="14"/>
    </row>
    <row r="47" spans="1:26" ht="11.25" customHeight="1" x14ac:dyDescent="0.3">
      <c r="A47" s="14"/>
      <c r="B47" s="20" t="s">
        <v>354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</row>
    <row r="48" spans="1:26" ht="6" customHeight="1" x14ac:dyDescent="0.3">
      <c r="A48" s="14"/>
      <c r="B48" s="14"/>
      <c r="C48" s="18"/>
      <c r="D48" s="18"/>
      <c r="E48" s="18"/>
      <c r="F48" s="18"/>
      <c r="G48" s="14"/>
      <c r="H48" s="14"/>
      <c r="I48" s="18"/>
      <c r="J48" s="18"/>
      <c r="K48" s="14"/>
      <c r="L48" s="14"/>
      <c r="M48" s="14"/>
      <c r="N48" s="18"/>
      <c r="O48" s="18"/>
      <c r="P48" s="18"/>
      <c r="Q48" s="14"/>
      <c r="R48" s="14"/>
      <c r="S48" s="14"/>
      <c r="T48" s="14"/>
      <c r="U48" s="14"/>
      <c r="V48" s="18"/>
      <c r="W48" s="18"/>
      <c r="X48" s="14"/>
      <c r="Y48" s="14"/>
      <c r="Z48" s="14"/>
    </row>
    <row r="49" spans="1:26" ht="35.549999999999997" customHeight="1" x14ac:dyDescent="0.3">
      <c r="A49" s="63" t="s">
        <v>355</v>
      </c>
      <c r="B49" s="63"/>
      <c r="C49" s="63"/>
      <c r="D49" s="63"/>
      <c r="E49" s="63"/>
      <c r="F49" s="63"/>
      <c r="G49" s="63"/>
      <c r="H49" s="64"/>
      <c r="I49" s="63" t="s">
        <v>356</v>
      </c>
      <c r="J49" s="63"/>
      <c r="K49" s="63"/>
      <c r="L49" s="64"/>
      <c r="M49" s="65" t="s">
        <v>357</v>
      </c>
      <c r="N49" s="65"/>
      <c r="O49" s="65"/>
      <c r="P49" s="65"/>
      <c r="Q49" s="64"/>
      <c r="R49" s="66" t="s">
        <v>358</v>
      </c>
      <c r="S49" s="64"/>
      <c r="T49" s="66" t="s">
        <v>359</v>
      </c>
      <c r="U49" s="64"/>
      <c r="V49" s="65" t="s">
        <v>360</v>
      </c>
      <c r="W49" s="65"/>
      <c r="X49" s="64"/>
      <c r="Y49" s="67" t="s">
        <v>346</v>
      </c>
      <c r="Z49" s="64"/>
    </row>
    <row r="50" spans="1:26" ht="18" customHeight="1" x14ac:dyDescent="0.3">
      <c r="A50" s="38"/>
      <c r="B50" s="38"/>
      <c r="C50" s="38"/>
      <c r="D50" s="38"/>
      <c r="E50" s="38"/>
      <c r="F50" s="38"/>
      <c r="G50" s="38"/>
      <c r="H50" s="22"/>
      <c r="I50" s="38"/>
      <c r="J50" s="38"/>
      <c r="K50" s="38"/>
      <c r="L50" s="22"/>
      <c r="M50" s="60">
        <v>986.3</v>
      </c>
      <c r="N50" s="60"/>
      <c r="O50" s="60"/>
      <c r="P50" s="60"/>
      <c r="Q50" s="22"/>
      <c r="R50" s="30">
        <v>986.3</v>
      </c>
      <c r="S50" s="22"/>
      <c r="T50" s="30">
        <v>0</v>
      </c>
      <c r="U50" s="22"/>
      <c r="V50" s="29">
        <v>0</v>
      </c>
      <c r="W50" s="29"/>
      <c r="X50" s="22"/>
      <c r="Y50" s="22"/>
      <c r="Z50" s="22"/>
    </row>
    <row r="51" spans="1:26" ht="11.25" customHeight="1" x14ac:dyDescent="0.3">
      <c r="A51" s="58">
        <v>1011</v>
      </c>
      <c r="B51" s="58"/>
      <c r="C51" s="68" t="s">
        <v>361</v>
      </c>
      <c r="D51" s="68"/>
      <c r="E51" s="68"/>
      <c r="F51" s="68"/>
      <c r="G51" s="68"/>
      <c r="H51" s="68"/>
      <c r="I51" s="68"/>
      <c r="J51" s="68"/>
      <c r="K51" s="50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14"/>
    </row>
    <row r="52" spans="1:26" ht="25.95" customHeight="1" x14ac:dyDescent="0.3">
      <c r="A52" s="38"/>
      <c r="B52" s="38"/>
      <c r="C52" s="69" t="s">
        <v>340</v>
      </c>
      <c r="D52" s="69"/>
      <c r="E52" s="69"/>
      <c r="F52" s="69"/>
      <c r="G52" s="69"/>
      <c r="H52" s="69"/>
      <c r="I52" s="69"/>
      <c r="J52" s="69"/>
      <c r="K52" s="70" t="s">
        <v>341</v>
      </c>
      <c r="L52" s="43" t="s">
        <v>342</v>
      </c>
      <c r="M52" s="43"/>
      <c r="N52" s="43"/>
      <c r="O52" s="43"/>
      <c r="P52" s="43"/>
      <c r="Q52" s="43" t="s">
        <v>343</v>
      </c>
      <c r="R52" s="43"/>
      <c r="S52" s="10" t="s">
        <v>344</v>
      </c>
      <c r="T52" s="10"/>
      <c r="U52" s="43" t="s">
        <v>345</v>
      </c>
      <c r="V52" s="43"/>
      <c r="W52" s="43"/>
      <c r="X52" s="44" t="s">
        <v>346</v>
      </c>
      <c r="Y52" s="44"/>
      <c r="Z52" s="22"/>
    </row>
    <row r="53" spans="1:26" ht="16.05" customHeight="1" x14ac:dyDescent="0.3">
      <c r="A53" s="32">
        <v>1178</v>
      </c>
      <c r="B53" s="32"/>
      <c r="C53" s="32"/>
      <c r="D53" s="32"/>
      <c r="E53" s="32"/>
      <c r="F53" s="32"/>
      <c r="G53" s="71" t="s">
        <v>347</v>
      </c>
      <c r="H53" s="71"/>
      <c r="I53" s="71"/>
      <c r="J53" s="71"/>
      <c r="K53" s="71"/>
      <c r="L53" s="14"/>
      <c r="M53" s="72">
        <v>33863.01</v>
      </c>
      <c r="N53" s="72"/>
      <c r="O53" s="72"/>
      <c r="P53" s="72"/>
      <c r="Q53" s="14"/>
      <c r="R53" s="46">
        <v>33863.01</v>
      </c>
      <c r="S53" s="14"/>
      <c r="T53" s="47">
        <v>0</v>
      </c>
      <c r="U53" s="14"/>
      <c r="V53" s="48">
        <v>0</v>
      </c>
      <c r="W53" s="48"/>
      <c r="X53" s="14"/>
      <c r="Y53" s="14"/>
      <c r="Z53" s="14"/>
    </row>
    <row r="54" spans="1:26" ht="18" customHeight="1" x14ac:dyDescent="0.3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22"/>
      <c r="M54" s="73">
        <v>33863.01</v>
      </c>
      <c r="N54" s="73"/>
      <c r="O54" s="73"/>
      <c r="P54" s="73"/>
      <c r="Q54" s="22"/>
      <c r="R54" s="39">
        <v>33863.01</v>
      </c>
      <c r="S54" s="22"/>
      <c r="T54" s="30">
        <v>0</v>
      </c>
      <c r="U54" s="22"/>
      <c r="V54" s="29">
        <v>0</v>
      </c>
      <c r="W54" s="29"/>
      <c r="X54" s="22"/>
      <c r="Y54" s="22"/>
      <c r="Z54" s="22"/>
    </row>
    <row r="55" spans="1:26" ht="11.25" customHeight="1" x14ac:dyDescent="0.3">
      <c r="A55" s="40" t="s">
        <v>362</v>
      </c>
      <c r="B55" s="40"/>
      <c r="C55" s="40"/>
      <c r="D55" s="40"/>
      <c r="E55" s="40"/>
      <c r="F55" s="40"/>
      <c r="G55" s="20" t="s">
        <v>363</v>
      </c>
      <c r="H55" s="20"/>
      <c r="I55" s="20"/>
      <c r="J55" s="20"/>
      <c r="K55" s="20"/>
      <c r="L55" s="50"/>
      <c r="M55" s="41"/>
      <c r="N55" s="41"/>
      <c r="O55" s="41"/>
      <c r="P55" s="41"/>
      <c r="Q55" s="50"/>
      <c r="R55" s="50"/>
      <c r="S55" s="50"/>
      <c r="T55" s="50"/>
      <c r="U55" s="50"/>
      <c r="V55" s="41"/>
      <c r="W55" s="41"/>
      <c r="X55" s="50"/>
      <c r="Y55" s="50"/>
      <c r="Z55" s="14"/>
    </row>
    <row r="56" spans="1:26" ht="25.05" customHeight="1" x14ac:dyDescent="0.3">
      <c r="A56" s="21" t="s">
        <v>340</v>
      </c>
      <c r="B56" s="21"/>
      <c r="C56" s="21"/>
      <c r="D56" s="21"/>
      <c r="E56" s="21"/>
      <c r="F56" s="21"/>
      <c r="G56" s="51" t="s">
        <v>341</v>
      </c>
      <c r="H56" s="51"/>
      <c r="I56" s="51"/>
      <c r="J56" s="51"/>
      <c r="K56" s="51"/>
      <c r="L56" s="22"/>
      <c r="M56" s="24" t="s">
        <v>342</v>
      </c>
      <c r="N56" s="24"/>
      <c r="O56" s="24"/>
      <c r="P56" s="24"/>
      <c r="Q56" s="22"/>
      <c r="R56" s="25" t="s">
        <v>343</v>
      </c>
      <c r="S56" s="22"/>
      <c r="T56" s="25" t="s">
        <v>344</v>
      </c>
      <c r="U56" s="22"/>
      <c r="V56" s="24" t="s">
        <v>345</v>
      </c>
      <c r="W56" s="24"/>
      <c r="X56" s="22"/>
      <c r="Y56" s="52" t="s">
        <v>346</v>
      </c>
      <c r="Z56" s="22"/>
    </row>
    <row r="57" spans="1:26" ht="13.95" customHeight="1" x14ac:dyDescent="0.3">
      <c r="A57" s="32">
        <v>1079</v>
      </c>
      <c r="B57" s="32"/>
      <c r="C57" s="32"/>
      <c r="D57" s="32"/>
      <c r="E57" s="32"/>
      <c r="F57" s="32"/>
      <c r="G57" s="71" t="s">
        <v>347</v>
      </c>
      <c r="H57" s="71"/>
      <c r="I57" s="71"/>
      <c r="J57" s="71"/>
      <c r="K57" s="71"/>
      <c r="L57" s="14"/>
      <c r="M57" s="49">
        <v>1910.96</v>
      </c>
      <c r="N57" s="49"/>
      <c r="O57" s="49"/>
      <c r="P57" s="49"/>
      <c r="Q57" s="14"/>
      <c r="R57" s="39">
        <v>1910.96</v>
      </c>
      <c r="S57" s="14"/>
      <c r="T57" s="30">
        <v>0</v>
      </c>
      <c r="U57" s="14"/>
      <c r="V57" s="29">
        <v>0</v>
      </c>
      <c r="W57" s="29"/>
      <c r="X57" s="14"/>
      <c r="Y57" s="14"/>
      <c r="Z57" s="14"/>
    </row>
    <row r="58" spans="1:26" ht="13.95" customHeight="1" x14ac:dyDescent="0.3">
      <c r="A58" s="32">
        <v>1173</v>
      </c>
      <c r="B58" s="32"/>
      <c r="C58" s="32"/>
      <c r="D58" s="32"/>
      <c r="E58" s="32"/>
      <c r="F58" s="32"/>
      <c r="G58" s="71" t="s">
        <v>347</v>
      </c>
      <c r="H58" s="71"/>
      <c r="I58" s="71"/>
      <c r="J58" s="71"/>
      <c r="K58" s="71"/>
      <c r="L58" s="14"/>
      <c r="M58" s="53">
        <v>4586.3</v>
      </c>
      <c r="N58" s="53"/>
      <c r="O58" s="53"/>
      <c r="P58" s="53"/>
      <c r="Q58" s="14"/>
      <c r="R58" s="54">
        <v>4586.3</v>
      </c>
      <c r="S58" s="14"/>
      <c r="T58" s="37">
        <v>0</v>
      </c>
      <c r="U58" s="14"/>
      <c r="V58" s="36">
        <v>0</v>
      </c>
      <c r="W58" s="36"/>
      <c r="X58" s="14"/>
      <c r="Y58" s="14"/>
      <c r="Z58" s="14"/>
    </row>
    <row r="59" spans="1:26" ht="18" customHeight="1" x14ac:dyDescent="0.3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22"/>
      <c r="M59" s="49">
        <v>6497.26</v>
      </c>
      <c r="N59" s="49"/>
      <c r="O59" s="49"/>
      <c r="P59" s="49"/>
      <c r="Q59" s="22"/>
      <c r="R59" s="39">
        <v>6497.26</v>
      </c>
      <c r="S59" s="22"/>
      <c r="T59" s="30">
        <v>0</v>
      </c>
      <c r="U59" s="22"/>
      <c r="V59" s="29">
        <v>0</v>
      </c>
      <c r="W59" s="29"/>
      <c r="X59" s="22"/>
      <c r="Y59" s="22"/>
      <c r="Z59" s="22"/>
    </row>
    <row r="60" spans="1:26" ht="11.25" customHeight="1" x14ac:dyDescent="0.3">
      <c r="A60" s="40" t="s">
        <v>364</v>
      </c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  <c r="N60" s="41"/>
      <c r="O60" s="41"/>
      <c r="P60" s="41"/>
      <c r="Q60" s="50"/>
      <c r="R60" s="50"/>
      <c r="S60" s="50"/>
      <c r="T60" s="50"/>
      <c r="U60" s="50"/>
      <c r="V60" s="41"/>
      <c r="W60" s="41"/>
      <c r="X60" s="50"/>
      <c r="Y60" s="50"/>
      <c r="Z60" s="14"/>
    </row>
    <row r="61" spans="1:26" ht="25.95" customHeight="1" x14ac:dyDescent="0.3">
      <c r="A61" s="74" t="s">
        <v>365</v>
      </c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5" t="s">
        <v>342</v>
      </c>
      <c r="O61" s="75"/>
      <c r="P61" s="75"/>
      <c r="Q61" s="22"/>
      <c r="R61" s="25" t="s">
        <v>343</v>
      </c>
      <c r="S61" s="22"/>
      <c r="T61" s="25" t="s">
        <v>344</v>
      </c>
      <c r="U61" s="22"/>
      <c r="V61" s="24" t="s">
        <v>345</v>
      </c>
      <c r="W61" s="24"/>
      <c r="X61" s="22"/>
      <c r="Y61" s="52" t="s">
        <v>346</v>
      </c>
      <c r="Z61" s="22"/>
    </row>
    <row r="62" spans="1:26" ht="16.05" customHeight="1" x14ac:dyDescent="0.3">
      <c r="A62" s="11" t="s">
        <v>366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76">
        <v>1972.6</v>
      </c>
      <c r="O62" s="76"/>
      <c r="P62" s="76"/>
      <c r="Q62" s="14"/>
      <c r="R62" s="46">
        <v>1972.6</v>
      </c>
      <c r="S62" s="14"/>
      <c r="T62" s="47">
        <v>0</v>
      </c>
      <c r="U62" s="14"/>
      <c r="V62" s="48">
        <v>0</v>
      </c>
      <c r="W62" s="48"/>
      <c r="X62" s="14"/>
      <c r="Y62" s="14"/>
      <c r="Z62" s="14"/>
    </row>
    <row r="63" spans="1:26" ht="18" customHeight="1" x14ac:dyDescent="0.3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77">
        <v>1972.6</v>
      </c>
      <c r="O63" s="77"/>
      <c r="P63" s="77"/>
      <c r="Q63" s="22"/>
      <c r="R63" s="39">
        <v>1972.6</v>
      </c>
      <c r="S63" s="22"/>
      <c r="T63" s="30">
        <v>0</v>
      </c>
      <c r="U63" s="22"/>
      <c r="V63" s="29">
        <v>0</v>
      </c>
      <c r="W63" s="29"/>
      <c r="X63" s="22"/>
      <c r="Y63" s="22"/>
      <c r="Z63" s="22"/>
    </row>
    <row r="64" spans="1:26" ht="11.25" customHeight="1" x14ac:dyDescent="0.3">
      <c r="A64" s="40" t="s">
        <v>367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20" t="s">
        <v>368</v>
      </c>
      <c r="O64" s="20"/>
      <c r="P64" s="20"/>
      <c r="Q64" s="50"/>
      <c r="R64" s="50"/>
      <c r="S64" s="50"/>
      <c r="T64" s="50"/>
      <c r="U64" s="50"/>
      <c r="V64" s="41"/>
      <c r="W64" s="41"/>
      <c r="X64" s="50"/>
      <c r="Y64" s="50"/>
      <c r="Z64" s="14"/>
    </row>
    <row r="65" spans="1:26" ht="25.05" customHeight="1" x14ac:dyDescent="0.3">
      <c r="A65" s="74" t="s">
        <v>365</v>
      </c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5" t="s">
        <v>342</v>
      </c>
      <c r="O65" s="75"/>
      <c r="P65" s="75"/>
      <c r="Q65" s="22"/>
      <c r="R65" s="25" t="s">
        <v>343</v>
      </c>
      <c r="S65" s="22"/>
      <c r="T65" s="25" t="s">
        <v>344</v>
      </c>
      <c r="U65" s="22"/>
      <c r="V65" s="24" t="s">
        <v>345</v>
      </c>
      <c r="W65" s="24"/>
      <c r="X65" s="22"/>
      <c r="Y65" s="52" t="s">
        <v>346</v>
      </c>
      <c r="Z65" s="22"/>
    </row>
    <row r="66" spans="1:26" ht="13.95" customHeight="1" x14ac:dyDescent="0.3">
      <c r="A66" s="11" t="s">
        <v>369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77">
        <v>1114.73</v>
      </c>
      <c r="O66" s="77"/>
      <c r="P66" s="77"/>
      <c r="Q66" s="14"/>
      <c r="R66" s="39">
        <v>1114.73</v>
      </c>
      <c r="S66" s="14"/>
      <c r="T66" s="30">
        <v>0</v>
      </c>
      <c r="U66" s="14"/>
      <c r="V66" s="29">
        <v>0</v>
      </c>
      <c r="W66" s="29"/>
      <c r="X66" s="14"/>
      <c r="Y66" s="14"/>
      <c r="Z66" s="14"/>
    </row>
    <row r="67" spans="1:26" ht="13.95" customHeight="1" x14ac:dyDescent="0.3">
      <c r="A67" s="11" t="s">
        <v>370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36">
        <v>143.84</v>
      </c>
      <c r="O67" s="36"/>
      <c r="P67" s="36"/>
      <c r="Q67" s="14"/>
      <c r="R67" s="37">
        <v>143.84</v>
      </c>
      <c r="S67" s="14"/>
      <c r="T67" s="37">
        <v>0</v>
      </c>
      <c r="U67" s="14"/>
      <c r="V67" s="36">
        <v>0</v>
      </c>
      <c r="W67" s="36"/>
      <c r="X67" s="14"/>
      <c r="Y67" s="14"/>
      <c r="Z67" s="14"/>
    </row>
    <row r="68" spans="1:26" ht="18" customHeight="1" x14ac:dyDescent="0.3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77">
        <v>1258.57</v>
      </c>
      <c r="O68" s="77"/>
      <c r="P68" s="77"/>
      <c r="Q68" s="22"/>
      <c r="R68" s="39">
        <v>1258.57</v>
      </c>
      <c r="S68" s="22"/>
      <c r="T68" s="30">
        <v>0</v>
      </c>
      <c r="U68" s="22"/>
      <c r="V68" s="29">
        <v>0</v>
      </c>
      <c r="W68" s="29"/>
      <c r="X68" s="22"/>
      <c r="Y68" s="22"/>
      <c r="Z68" s="22"/>
    </row>
    <row r="69" spans="1:26" ht="11.25" customHeight="1" x14ac:dyDescent="0.3">
      <c r="A69" s="40" t="s">
        <v>371</v>
      </c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1"/>
      <c r="O69" s="41"/>
      <c r="P69" s="41"/>
      <c r="Q69" s="50"/>
      <c r="R69" s="50"/>
      <c r="S69" s="50"/>
      <c r="T69" s="50"/>
      <c r="U69" s="50"/>
      <c r="V69" s="41"/>
      <c r="W69" s="41"/>
      <c r="X69" s="50"/>
      <c r="Y69" s="50"/>
      <c r="Z69" s="14"/>
    </row>
    <row r="70" spans="1:26" ht="25.95" customHeight="1" x14ac:dyDescent="0.3">
      <c r="A70" s="74" t="s">
        <v>365</v>
      </c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5" t="s">
        <v>342</v>
      </c>
      <c r="O70" s="75"/>
      <c r="P70" s="75"/>
      <c r="Q70" s="22"/>
      <c r="R70" s="25" t="s">
        <v>343</v>
      </c>
      <c r="S70" s="22"/>
      <c r="T70" s="25" t="s">
        <v>344</v>
      </c>
      <c r="U70" s="22"/>
      <c r="V70" s="24" t="s">
        <v>345</v>
      </c>
      <c r="W70" s="24"/>
      <c r="X70" s="22"/>
      <c r="Y70" s="52" t="s">
        <v>346</v>
      </c>
      <c r="Z70" s="22"/>
    </row>
    <row r="71" spans="1:26" ht="16.05" customHeight="1" x14ac:dyDescent="0.3">
      <c r="A71" s="11" t="s">
        <v>372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48">
        <v>677.26</v>
      </c>
      <c r="O71" s="48"/>
      <c r="P71" s="48"/>
      <c r="Q71" s="14"/>
      <c r="R71" s="47">
        <v>677.26</v>
      </c>
      <c r="S71" s="14"/>
      <c r="T71" s="47">
        <v>0</v>
      </c>
      <c r="U71" s="14"/>
      <c r="V71" s="48">
        <v>0</v>
      </c>
      <c r="W71" s="48"/>
      <c r="X71" s="14"/>
      <c r="Y71" s="14"/>
      <c r="Z71" s="14"/>
    </row>
    <row r="72" spans="1:26" ht="18" customHeight="1" x14ac:dyDescent="0.3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29">
        <v>677.26</v>
      </c>
      <c r="O72" s="29"/>
      <c r="P72" s="29"/>
      <c r="Q72" s="22"/>
      <c r="R72" s="30">
        <v>677.26</v>
      </c>
      <c r="S72" s="22"/>
      <c r="T72" s="30">
        <v>0</v>
      </c>
      <c r="U72" s="22"/>
      <c r="V72" s="29">
        <v>0</v>
      </c>
      <c r="W72" s="29"/>
      <c r="X72" s="22"/>
      <c r="Y72" s="22"/>
      <c r="Z72" s="22"/>
    </row>
    <row r="73" spans="1:26" ht="11.25" customHeight="1" x14ac:dyDescent="0.3">
      <c r="A73" s="40" t="s">
        <v>373</v>
      </c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1"/>
      <c r="O73" s="41"/>
      <c r="P73" s="41"/>
      <c r="Q73" s="50"/>
      <c r="R73" s="50"/>
      <c r="S73" s="50"/>
      <c r="T73" s="50"/>
      <c r="U73" s="50"/>
      <c r="V73" s="41"/>
      <c r="W73" s="41"/>
      <c r="X73" s="50"/>
      <c r="Y73" s="50"/>
      <c r="Z73" s="14"/>
    </row>
    <row r="74" spans="1:26" ht="25.05" customHeight="1" x14ac:dyDescent="0.3">
      <c r="A74" s="74" t="s">
        <v>365</v>
      </c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5" t="s">
        <v>342</v>
      </c>
      <c r="O74" s="75"/>
      <c r="P74" s="75"/>
      <c r="Q74" s="22"/>
      <c r="R74" s="25" t="s">
        <v>343</v>
      </c>
      <c r="S74" s="22"/>
      <c r="T74" s="25" t="s">
        <v>344</v>
      </c>
      <c r="U74" s="22"/>
      <c r="V74" s="24" t="s">
        <v>345</v>
      </c>
      <c r="W74" s="24"/>
      <c r="X74" s="22"/>
      <c r="Y74" s="52" t="s">
        <v>346</v>
      </c>
      <c r="Z74" s="22"/>
    </row>
    <row r="75" spans="1:26" ht="16.05" customHeight="1" x14ac:dyDescent="0.3">
      <c r="A75" s="11" t="s">
        <v>374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48">
        <v>0</v>
      </c>
      <c r="O75" s="48"/>
      <c r="P75" s="48"/>
      <c r="Q75" s="14"/>
      <c r="R75" s="47">
        <v>809.08</v>
      </c>
      <c r="S75" s="14"/>
      <c r="T75" s="47">
        <v>-809.08</v>
      </c>
      <c r="U75" s="14"/>
      <c r="V75" s="48">
        <v>0</v>
      </c>
      <c r="W75" s="48"/>
      <c r="X75" s="14"/>
      <c r="Y75" s="14"/>
      <c r="Z75" s="14"/>
    </row>
    <row r="76" spans="1:26" ht="18" customHeight="1" x14ac:dyDescent="0.3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29">
        <v>0</v>
      </c>
      <c r="O76" s="29"/>
      <c r="P76" s="29"/>
      <c r="Q76" s="22"/>
      <c r="R76" s="30">
        <v>809.08</v>
      </c>
      <c r="S76" s="22"/>
      <c r="T76" s="30">
        <v>-809.08</v>
      </c>
      <c r="U76" s="22"/>
      <c r="V76" s="29">
        <v>0</v>
      </c>
      <c r="W76" s="29"/>
      <c r="X76" s="22"/>
      <c r="Y76" s="22"/>
      <c r="Z76" s="22"/>
    </row>
    <row r="77" spans="1:26" ht="11.25" customHeight="1" x14ac:dyDescent="0.3">
      <c r="A77" s="58">
        <v>1019</v>
      </c>
      <c r="B77" s="58"/>
      <c r="C77" s="68" t="s">
        <v>375</v>
      </c>
      <c r="D77" s="68"/>
      <c r="E77" s="68"/>
      <c r="F77" s="68"/>
      <c r="G77" s="68"/>
      <c r="H77" s="68"/>
      <c r="I77" s="68"/>
      <c r="J77" s="68"/>
      <c r="K77" s="50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14"/>
    </row>
    <row r="78" spans="1:26" ht="25.95" customHeight="1" x14ac:dyDescent="0.3">
      <c r="A78" s="38"/>
      <c r="B78" s="38"/>
      <c r="C78" s="69" t="s">
        <v>340</v>
      </c>
      <c r="D78" s="69"/>
      <c r="E78" s="69"/>
      <c r="F78" s="69"/>
      <c r="G78" s="69"/>
      <c r="H78" s="69"/>
      <c r="I78" s="69"/>
      <c r="J78" s="69"/>
      <c r="K78" s="70" t="s">
        <v>341</v>
      </c>
      <c r="L78" s="43" t="s">
        <v>342</v>
      </c>
      <c r="M78" s="43"/>
      <c r="N78" s="43"/>
      <c r="O78" s="43"/>
      <c r="P78" s="43"/>
      <c r="Q78" s="43" t="s">
        <v>343</v>
      </c>
      <c r="R78" s="43"/>
      <c r="S78" s="10" t="s">
        <v>344</v>
      </c>
      <c r="T78" s="10"/>
      <c r="U78" s="43" t="s">
        <v>345</v>
      </c>
      <c r="V78" s="43"/>
      <c r="W78" s="43"/>
      <c r="X78" s="44" t="s">
        <v>346</v>
      </c>
      <c r="Y78" s="44"/>
      <c r="Z78" s="22"/>
    </row>
    <row r="79" spans="1:26" ht="13.05" customHeight="1" x14ac:dyDescent="0.3">
      <c r="A79" s="32">
        <v>1038</v>
      </c>
      <c r="B79" s="32"/>
      <c r="C79" s="32"/>
      <c r="D79" s="32"/>
      <c r="E79" s="32"/>
      <c r="F79" s="32"/>
      <c r="G79" s="32"/>
      <c r="H79" s="71" t="s">
        <v>347</v>
      </c>
      <c r="I79" s="71"/>
      <c r="J79" s="71"/>
      <c r="K79" s="71"/>
      <c r="L79" s="14"/>
      <c r="M79" s="60">
        <v>986.3</v>
      </c>
      <c r="N79" s="60"/>
      <c r="O79" s="60"/>
      <c r="P79" s="60"/>
      <c r="Q79" s="14"/>
      <c r="R79" s="30">
        <v>986.3</v>
      </c>
      <c r="S79" s="14"/>
      <c r="T79" s="30">
        <v>0</v>
      </c>
      <c r="U79" s="14"/>
      <c r="V79" s="29">
        <v>0</v>
      </c>
      <c r="W79" s="29"/>
      <c r="X79" s="14"/>
      <c r="Y79" s="14"/>
      <c r="Z79" s="14"/>
    </row>
    <row r="80" spans="1:26" ht="15" customHeight="1" x14ac:dyDescent="0.3">
      <c r="A80" s="32">
        <v>1090</v>
      </c>
      <c r="B80" s="32"/>
      <c r="C80" s="32"/>
      <c r="D80" s="32"/>
      <c r="E80" s="32"/>
      <c r="F80" s="32"/>
      <c r="G80" s="32"/>
      <c r="H80" s="71" t="s">
        <v>347</v>
      </c>
      <c r="I80" s="71"/>
      <c r="J80" s="71"/>
      <c r="K80" s="71"/>
      <c r="L80" s="14"/>
      <c r="M80" s="62">
        <v>328.77</v>
      </c>
      <c r="N80" s="62"/>
      <c r="O80" s="62"/>
      <c r="P80" s="62"/>
      <c r="Q80" s="14"/>
      <c r="R80" s="37">
        <v>328.77</v>
      </c>
      <c r="S80" s="14"/>
      <c r="T80" s="37">
        <v>0</v>
      </c>
      <c r="U80" s="14"/>
      <c r="V80" s="36">
        <v>0</v>
      </c>
      <c r="W80" s="36"/>
      <c r="X80" s="14"/>
      <c r="Y80" s="14"/>
      <c r="Z80" s="14"/>
    </row>
    <row r="81" spans="1:26" ht="18" customHeight="1" x14ac:dyDescent="0.3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22"/>
      <c r="M81" s="49">
        <v>1315.07</v>
      </c>
      <c r="N81" s="49"/>
      <c r="O81" s="49"/>
      <c r="P81" s="49"/>
      <c r="Q81" s="22"/>
      <c r="R81" s="39">
        <v>1315.07</v>
      </c>
      <c r="S81" s="22"/>
      <c r="T81" s="30">
        <v>0</v>
      </c>
      <c r="U81" s="22"/>
      <c r="V81" s="29">
        <v>0</v>
      </c>
      <c r="W81" s="29"/>
      <c r="X81" s="22"/>
      <c r="Y81" s="22"/>
      <c r="Z81" s="22"/>
    </row>
    <row r="82" spans="1:26" ht="11.25" customHeight="1" x14ac:dyDescent="0.3">
      <c r="A82" s="40" t="s">
        <v>376</v>
      </c>
      <c r="B82" s="40"/>
      <c r="C82" s="40"/>
      <c r="D82" s="40"/>
      <c r="E82" s="40"/>
      <c r="F82" s="40"/>
      <c r="G82" s="40"/>
      <c r="H82" s="20" t="s">
        <v>377</v>
      </c>
      <c r="I82" s="20"/>
      <c r="J82" s="20"/>
      <c r="K82" s="20"/>
      <c r="L82" s="50"/>
      <c r="M82" s="41"/>
      <c r="N82" s="41"/>
      <c r="O82" s="41"/>
      <c r="P82" s="41"/>
      <c r="Q82" s="50"/>
      <c r="R82" s="50"/>
      <c r="S82" s="50"/>
      <c r="T82" s="50"/>
      <c r="U82" s="50"/>
      <c r="V82" s="41"/>
      <c r="W82" s="41"/>
      <c r="X82" s="50"/>
      <c r="Y82" s="50"/>
      <c r="Z82" s="14"/>
    </row>
    <row r="83" spans="1:26" ht="25.05" customHeight="1" x14ac:dyDescent="0.3">
      <c r="A83" s="21" t="s">
        <v>340</v>
      </c>
      <c r="B83" s="21"/>
      <c r="C83" s="21"/>
      <c r="D83" s="21"/>
      <c r="E83" s="21"/>
      <c r="F83" s="21"/>
      <c r="G83" s="21"/>
      <c r="H83" s="51" t="s">
        <v>341</v>
      </c>
      <c r="I83" s="51"/>
      <c r="J83" s="51"/>
      <c r="K83" s="51"/>
      <c r="L83" s="22"/>
      <c r="M83" s="24" t="s">
        <v>342</v>
      </c>
      <c r="N83" s="24"/>
      <c r="O83" s="24"/>
      <c r="P83" s="24"/>
      <c r="Q83" s="22"/>
      <c r="R83" s="25" t="s">
        <v>343</v>
      </c>
      <c r="S83" s="22"/>
      <c r="T83" s="25" t="s">
        <v>344</v>
      </c>
      <c r="U83" s="22"/>
      <c r="V83" s="24" t="s">
        <v>345</v>
      </c>
      <c r="W83" s="24"/>
      <c r="X83" s="22"/>
      <c r="Y83" s="52" t="s">
        <v>346</v>
      </c>
      <c r="Z83" s="22"/>
    </row>
    <row r="84" spans="1:26" ht="13.95" customHeight="1" x14ac:dyDescent="0.3">
      <c r="A84" s="32">
        <v>1106</v>
      </c>
      <c r="B84" s="32"/>
      <c r="C84" s="32"/>
      <c r="D84" s="32"/>
      <c r="E84" s="32"/>
      <c r="F84" s="32"/>
      <c r="G84" s="32"/>
      <c r="H84" s="71" t="s">
        <v>347</v>
      </c>
      <c r="I84" s="71"/>
      <c r="J84" s="71"/>
      <c r="K84" s="71"/>
      <c r="L84" s="14"/>
      <c r="M84" s="60">
        <v>573.29</v>
      </c>
      <c r="N84" s="60"/>
      <c r="O84" s="60"/>
      <c r="P84" s="60"/>
      <c r="Q84" s="14"/>
      <c r="R84" s="30">
        <v>573.29</v>
      </c>
      <c r="S84" s="14"/>
      <c r="T84" s="30">
        <v>0</v>
      </c>
      <c r="U84" s="14"/>
      <c r="V84" s="29">
        <v>0</v>
      </c>
      <c r="W84" s="29"/>
      <c r="X84" s="14"/>
      <c r="Y84" s="14"/>
      <c r="Z84" s="14"/>
    </row>
    <row r="85" spans="1:26" ht="12" customHeight="1" x14ac:dyDescent="0.3">
      <c r="A85" s="32">
        <v>1118</v>
      </c>
      <c r="B85" s="32"/>
      <c r="C85" s="32"/>
      <c r="D85" s="32"/>
      <c r="E85" s="32"/>
      <c r="F85" s="32"/>
      <c r="G85" s="32"/>
      <c r="H85" s="71" t="s">
        <v>347</v>
      </c>
      <c r="I85" s="71"/>
      <c r="J85" s="71"/>
      <c r="K85" s="71"/>
      <c r="L85" s="14"/>
      <c r="M85" s="61">
        <v>382.19</v>
      </c>
      <c r="N85" s="61"/>
      <c r="O85" s="61"/>
      <c r="P85" s="61"/>
      <c r="Q85" s="14"/>
      <c r="R85" s="35">
        <v>382.19</v>
      </c>
      <c r="S85" s="14"/>
      <c r="T85" s="35">
        <v>0</v>
      </c>
      <c r="U85" s="14"/>
      <c r="V85" s="34">
        <v>0</v>
      </c>
      <c r="W85" s="34"/>
      <c r="X85" s="14"/>
      <c r="Y85" s="14"/>
      <c r="Z85" s="14"/>
    </row>
    <row r="86" spans="1:26" ht="13.95" customHeight="1" x14ac:dyDescent="0.3">
      <c r="A86" s="32">
        <v>1172</v>
      </c>
      <c r="B86" s="32"/>
      <c r="C86" s="32"/>
      <c r="D86" s="32"/>
      <c r="E86" s="32"/>
      <c r="F86" s="32"/>
      <c r="G86" s="32"/>
      <c r="H86" s="71" t="s">
        <v>347</v>
      </c>
      <c r="I86" s="71"/>
      <c r="J86" s="71"/>
      <c r="K86" s="71"/>
      <c r="L86" s="14"/>
      <c r="M86" s="62">
        <v>191.1</v>
      </c>
      <c r="N86" s="62"/>
      <c r="O86" s="62"/>
      <c r="P86" s="62"/>
      <c r="Q86" s="14"/>
      <c r="R86" s="37">
        <v>191.1</v>
      </c>
      <c r="S86" s="14"/>
      <c r="T86" s="37">
        <v>0</v>
      </c>
      <c r="U86" s="14"/>
      <c r="V86" s="36">
        <v>0</v>
      </c>
      <c r="W86" s="36"/>
      <c r="X86" s="14"/>
      <c r="Y86" s="14"/>
      <c r="Z86" s="14"/>
    </row>
    <row r="87" spans="1:26" ht="11.25" customHeight="1" x14ac:dyDescent="0.3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4"/>
      <c r="M87" s="49">
        <v>1146.58</v>
      </c>
      <c r="N87" s="49"/>
      <c r="O87" s="49"/>
      <c r="P87" s="49"/>
      <c r="Q87" s="14"/>
      <c r="R87" s="39">
        <v>1146.58</v>
      </c>
      <c r="S87" s="14"/>
      <c r="T87" s="30">
        <v>0</v>
      </c>
      <c r="U87" s="14"/>
      <c r="V87" s="29">
        <v>0</v>
      </c>
      <c r="W87" s="29"/>
      <c r="X87" s="14"/>
      <c r="Y87" s="14"/>
      <c r="Z87" s="14"/>
    </row>
    <row r="88" spans="1:26" ht="11.25" customHeight="1" x14ac:dyDescent="0.3">
      <c r="A88" s="14"/>
      <c r="B88" s="20" t="s">
        <v>378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</row>
    <row r="89" spans="1:26" ht="6" customHeight="1" x14ac:dyDescent="0.3">
      <c r="A89" s="14"/>
      <c r="B89" s="18"/>
      <c r="C89" s="18"/>
      <c r="D89" s="18"/>
      <c r="E89" s="18"/>
      <c r="F89" s="18"/>
      <c r="G89" s="18"/>
      <c r="H89" s="18"/>
      <c r="I89" s="18"/>
      <c r="J89" s="18"/>
      <c r="K89" s="14"/>
      <c r="L89" s="14"/>
      <c r="M89" s="18"/>
      <c r="N89" s="18"/>
      <c r="O89" s="18"/>
      <c r="P89" s="18"/>
      <c r="Q89" s="14"/>
      <c r="R89" s="14"/>
      <c r="S89" s="14"/>
      <c r="T89" s="14"/>
      <c r="U89" s="14"/>
      <c r="V89" s="18"/>
      <c r="W89" s="18"/>
      <c r="X89" s="14"/>
      <c r="Y89" s="14"/>
      <c r="Z89" s="14"/>
    </row>
    <row r="90" spans="1:26" ht="22.5" customHeight="1" x14ac:dyDescent="0.3">
      <c r="A90" s="21" t="s">
        <v>340</v>
      </c>
      <c r="B90" s="21"/>
      <c r="C90" s="21"/>
      <c r="D90" s="21"/>
      <c r="E90" s="21"/>
      <c r="F90" s="21"/>
      <c r="G90" s="21"/>
      <c r="H90" s="21"/>
      <c r="I90" s="21"/>
      <c r="J90" s="21"/>
      <c r="K90" s="78" t="s">
        <v>341</v>
      </c>
      <c r="L90" s="78"/>
      <c r="M90" s="10" t="s">
        <v>342</v>
      </c>
      <c r="N90" s="10"/>
      <c r="O90" s="10"/>
      <c r="P90" s="10"/>
      <c r="Q90" s="43" t="s">
        <v>343</v>
      </c>
      <c r="R90" s="43"/>
      <c r="S90" s="10" t="s">
        <v>344</v>
      </c>
      <c r="T90" s="10"/>
      <c r="U90" s="43" t="s">
        <v>345</v>
      </c>
      <c r="V90" s="43"/>
      <c r="W90" s="43"/>
      <c r="X90" s="44" t="s">
        <v>346</v>
      </c>
      <c r="Y90" s="44"/>
      <c r="Z90" s="22"/>
    </row>
    <row r="91" spans="1:26" ht="7.05" customHeight="1" x14ac:dyDescent="0.3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4"/>
      <c r="R91" s="31"/>
      <c r="S91" s="14"/>
      <c r="T91" s="31"/>
      <c r="U91" s="14"/>
      <c r="V91" s="79"/>
      <c r="W91" s="79"/>
      <c r="X91" s="14"/>
      <c r="Y91" s="14"/>
      <c r="Z91" s="14"/>
    </row>
    <row r="92" spans="1:26" ht="11.25" customHeight="1" x14ac:dyDescent="0.3">
      <c r="A92" s="40" t="s">
        <v>379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50"/>
      <c r="R92" s="50"/>
      <c r="S92" s="50"/>
      <c r="T92" s="50"/>
      <c r="U92" s="50"/>
      <c r="V92" s="41"/>
      <c r="W92" s="41"/>
      <c r="X92" s="50"/>
      <c r="Y92" s="50"/>
      <c r="Z92" s="14"/>
    </row>
    <row r="93" spans="1:26" ht="25.95" customHeight="1" x14ac:dyDescent="0.3">
      <c r="A93" s="74" t="s">
        <v>380</v>
      </c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22"/>
      <c r="R93" s="25" t="s">
        <v>343</v>
      </c>
      <c r="S93" s="22"/>
      <c r="T93" s="25" t="s">
        <v>344</v>
      </c>
      <c r="U93" s="22"/>
      <c r="V93" s="24" t="s">
        <v>345</v>
      </c>
      <c r="W93" s="24"/>
      <c r="X93" s="22"/>
      <c r="Y93" s="52" t="s">
        <v>346</v>
      </c>
      <c r="Z93" s="22"/>
    </row>
    <row r="94" spans="1:26" ht="15" customHeight="1" x14ac:dyDescent="0.3">
      <c r="A94" s="11" t="s">
        <v>381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4"/>
      <c r="R94" s="46">
        <v>1643.84</v>
      </c>
      <c r="S94" s="14"/>
      <c r="T94" s="47">
        <v>0</v>
      </c>
      <c r="U94" s="14"/>
      <c r="V94" s="48">
        <v>0</v>
      </c>
      <c r="W94" s="48"/>
      <c r="X94" s="14"/>
      <c r="Y94" s="14"/>
      <c r="Z94" s="14"/>
    </row>
    <row r="95" spans="1:26" ht="18" customHeight="1" x14ac:dyDescent="0.3">
      <c r="A95" s="80">
        <v>1643.84</v>
      </c>
      <c r="B95" s="80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22"/>
      <c r="R95" s="39">
        <v>1643.84</v>
      </c>
      <c r="S95" s="22"/>
      <c r="T95" s="30">
        <v>0</v>
      </c>
      <c r="U95" s="22"/>
      <c r="V95" s="29">
        <v>0</v>
      </c>
      <c r="W95" s="29"/>
      <c r="X95" s="22"/>
      <c r="Y95" s="22"/>
      <c r="Z95" s="22"/>
    </row>
    <row r="96" spans="1:26" ht="12" customHeight="1" x14ac:dyDescent="0.3">
      <c r="A96" s="40" t="s">
        <v>382</v>
      </c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50"/>
      <c r="R96" s="50"/>
      <c r="S96" s="50"/>
      <c r="T96" s="50"/>
      <c r="U96" s="50"/>
      <c r="V96" s="41"/>
      <c r="W96" s="41"/>
      <c r="X96" s="50"/>
      <c r="Y96" s="50"/>
      <c r="Z96" s="14"/>
    </row>
    <row r="97" spans="1:26" ht="25.05" customHeight="1" x14ac:dyDescent="0.3">
      <c r="A97" s="74" t="s">
        <v>380</v>
      </c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22"/>
      <c r="R97" s="25" t="s">
        <v>343</v>
      </c>
      <c r="S97" s="22"/>
      <c r="T97" s="25" t="s">
        <v>344</v>
      </c>
      <c r="U97" s="22"/>
      <c r="V97" s="24" t="s">
        <v>345</v>
      </c>
      <c r="W97" s="24"/>
      <c r="X97" s="22"/>
      <c r="Y97" s="52" t="s">
        <v>346</v>
      </c>
      <c r="Z97" s="22"/>
    </row>
    <row r="98" spans="1:26" ht="16.05" customHeight="1" x14ac:dyDescent="0.3">
      <c r="A98" s="11" t="s">
        <v>383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4"/>
      <c r="R98" s="46">
        <v>1578.08</v>
      </c>
      <c r="S98" s="14"/>
      <c r="T98" s="47">
        <v>0</v>
      </c>
      <c r="U98" s="14"/>
      <c r="V98" s="48">
        <v>0</v>
      </c>
      <c r="W98" s="48"/>
      <c r="X98" s="14"/>
      <c r="Y98" s="14"/>
      <c r="Z98" s="14"/>
    </row>
    <row r="99" spans="1:26" ht="18" customHeight="1" x14ac:dyDescent="0.3">
      <c r="A99" s="80">
        <v>1578.08</v>
      </c>
      <c r="B99" s="80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22"/>
      <c r="R99" s="39">
        <v>1578.08</v>
      </c>
      <c r="S99" s="22"/>
      <c r="T99" s="30">
        <v>0</v>
      </c>
      <c r="U99" s="22"/>
      <c r="V99" s="29">
        <v>0</v>
      </c>
      <c r="W99" s="29"/>
      <c r="X99" s="22"/>
      <c r="Y99" s="22"/>
      <c r="Z99" s="22"/>
    </row>
    <row r="100" spans="1:26" ht="11.25" customHeight="1" x14ac:dyDescent="0.3">
      <c r="A100" s="40" t="s">
        <v>384</v>
      </c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50"/>
      <c r="R100" s="50"/>
      <c r="S100" s="50"/>
      <c r="T100" s="50"/>
      <c r="U100" s="50"/>
      <c r="V100" s="41"/>
      <c r="W100" s="41"/>
      <c r="X100" s="50"/>
      <c r="Y100" s="50"/>
      <c r="Z100" s="14"/>
    </row>
    <row r="101" spans="1:26" ht="25.95" customHeight="1" x14ac:dyDescent="0.3">
      <c r="A101" s="74" t="s">
        <v>380</v>
      </c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22"/>
      <c r="R101" s="25" t="s">
        <v>343</v>
      </c>
      <c r="S101" s="22"/>
      <c r="T101" s="25" t="s">
        <v>344</v>
      </c>
      <c r="U101" s="22"/>
      <c r="V101" s="24" t="s">
        <v>345</v>
      </c>
      <c r="W101" s="24"/>
      <c r="X101" s="22"/>
      <c r="Y101" s="52" t="s">
        <v>346</v>
      </c>
      <c r="Z101" s="22"/>
    </row>
    <row r="102" spans="1:26" ht="13.05" customHeight="1" x14ac:dyDescent="0.3">
      <c r="A102" s="11" t="s">
        <v>385</v>
      </c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4"/>
      <c r="R102" s="39">
        <v>14390.23</v>
      </c>
      <c r="S102" s="14"/>
      <c r="T102" s="30">
        <v>0</v>
      </c>
      <c r="U102" s="14"/>
      <c r="V102" s="29">
        <v>0</v>
      </c>
      <c r="W102" s="29"/>
      <c r="X102" s="14"/>
      <c r="Y102" s="14"/>
      <c r="Z102" s="14"/>
    </row>
    <row r="103" spans="1:26" ht="12" customHeight="1" x14ac:dyDescent="0.3">
      <c r="A103" s="11" t="s">
        <v>386</v>
      </c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4"/>
      <c r="R103" s="35">
        <v>171.13</v>
      </c>
      <c r="S103" s="14"/>
      <c r="T103" s="35">
        <v>0</v>
      </c>
      <c r="U103" s="14"/>
      <c r="V103" s="34">
        <v>0</v>
      </c>
      <c r="W103" s="34"/>
      <c r="X103" s="14"/>
      <c r="Y103" s="14"/>
      <c r="Z103" s="14"/>
    </row>
    <row r="104" spans="1:26" ht="12" customHeight="1" x14ac:dyDescent="0.3">
      <c r="A104" s="11" t="s">
        <v>387</v>
      </c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4"/>
      <c r="R104" s="57">
        <v>21249.86</v>
      </c>
      <c r="S104" s="14"/>
      <c r="T104" s="35">
        <v>0</v>
      </c>
      <c r="U104" s="14"/>
      <c r="V104" s="34">
        <v>0</v>
      </c>
      <c r="W104" s="34"/>
      <c r="X104" s="14"/>
      <c r="Y104" s="14"/>
      <c r="Z104" s="14"/>
    </row>
    <row r="105" spans="1:26" ht="13.95" customHeight="1" x14ac:dyDescent="0.3">
      <c r="A105" s="11" t="s">
        <v>388</v>
      </c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4"/>
      <c r="R105" s="54">
        <v>6514.32</v>
      </c>
      <c r="S105" s="14"/>
      <c r="T105" s="54">
        <v>-6514.32</v>
      </c>
      <c r="U105" s="14"/>
      <c r="V105" s="36">
        <v>0</v>
      </c>
      <c r="W105" s="36"/>
      <c r="X105" s="14"/>
      <c r="Y105" s="14"/>
      <c r="Z105" s="14"/>
    </row>
    <row r="106" spans="1:26" ht="18" customHeight="1" x14ac:dyDescent="0.3">
      <c r="A106" s="80">
        <v>35811.22</v>
      </c>
      <c r="B106" s="80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22"/>
      <c r="R106" s="39">
        <v>42325.54</v>
      </c>
      <c r="S106" s="22"/>
      <c r="T106" s="39">
        <v>-6514.32</v>
      </c>
      <c r="U106" s="22"/>
      <c r="V106" s="29">
        <v>0</v>
      </c>
      <c r="W106" s="29"/>
      <c r="X106" s="22"/>
      <c r="Y106" s="22"/>
      <c r="Z106" s="22"/>
    </row>
    <row r="107" spans="1:26" ht="12" customHeight="1" x14ac:dyDescent="0.3">
      <c r="A107" s="58">
        <v>1029</v>
      </c>
      <c r="B107" s="58"/>
      <c r="C107" s="58"/>
      <c r="D107" s="81" t="s">
        <v>389</v>
      </c>
      <c r="E107" s="81"/>
      <c r="F107" s="81"/>
      <c r="G107" s="81"/>
      <c r="H107" s="81"/>
      <c r="I107" s="81"/>
      <c r="J107" s="8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14"/>
    </row>
    <row r="108" spans="1:26" ht="25.95" customHeight="1" x14ac:dyDescent="0.3">
      <c r="A108" s="38"/>
      <c r="B108" s="38"/>
      <c r="C108" s="38"/>
      <c r="D108" s="82" t="s">
        <v>340</v>
      </c>
      <c r="E108" s="82"/>
      <c r="F108" s="82"/>
      <c r="G108" s="82"/>
      <c r="H108" s="82"/>
      <c r="I108" s="82"/>
      <c r="J108" s="82"/>
      <c r="K108" s="78" t="s">
        <v>341</v>
      </c>
      <c r="L108" s="78"/>
      <c r="M108" s="10" t="s">
        <v>342</v>
      </c>
      <c r="N108" s="10"/>
      <c r="O108" s="10"/>
      <c r="P108" s="10"/>
      <c r="Q108" s="43" t="s">
        <v>343</v>
      </c>
      <c r="R108" s="43"/>
      <c r="S108" s="10" t="s">
        <v>344</v>
      </c>
      <c r="T108" s="10"/>
      <c r="U108" s="43" t="s">
        <v>345</v>
      </c>
      <c r="V108" s="43"/>
      <c r="W108" s="43"/>
      <c r="X108" s="44" t="s">
        <v>346</v>
      </c>
      <c r="Y108" s="44"/>
      <c r="Z108" s="22"/>
    </row>
    <row r="109" spans="1:26" ht="12" customHeight="1" x14ac:dyDescent="0.3">
      <c r="A109" s="11" t="s">
        <v>390</v>
      </c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29">
        <v>719.18</v>
      </c>
      <c r="N109" s="29"/>
      <c r="O109" s="29"/>
      <c r="P109" s="29"/>
      <c r="Q109" s="14"/>
      <c r="R109" s="30">
        <v>719.18</v>
      </c>
      <c r="S109" s="14"/>
      <c r="T109" s="30">
        <v>0</v>
      </c>
      <c r="U109" s="14"/>
      <c r="V109" s="29">
        <v>0</v>
      </c>
      <c r="W109" s="29"/>
      <c r="X109" s="14"/>
      <c r="Y109" s="14"/>
      <c r="Z109" s="14"/>
    </row>
    <row r="110" spans="1:26" ht="12" customHeight="1" x14ac:dyDescent="0.3">
      <c r="A110" s="11" t="s">
        <v>391</v>
      </c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34">
        <v>143.84</v>
      </c>
      <c r="N110" s="34"/>
      <c r="O110" s="34"/>
      <c r="P110" s="34"/>
      <c r="Q110" s="14"/>
      <c r="R110" s="35">
        <v>143.84</v>
      </c>
      <c r="S110" s="14"/>
      <c r="T110" s="35">
        <v>0</v>
      </c>
      <c r="U110" s="14"/>
      <c r="V110" s="34">
        <v>0</v>
      </c>
      <c r="W110" s="34"/>
      <c r="X110" s="14"/>
      <c r="Y110" s="14"/>
      <c r="Z110" s="14"/>
    </row>
    <row r="111" spans="1:26" ht="12" customHeight="1" x14ac:dyDescent="0.3">
      <c r="A111" s="11" t="s">
        <v>392</v>
      </c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80">
        <v>1438.36</v>
      </c>
      <c r="N111" s="80"/>
      <c r="O111" s="80"/>
      <c r="P111" s="80"/>
      <c r="Q111" s="14"/>
      <c r="R111" s="57">
        <v>1438.36</v>
      </c>
      <c r="S111" s="14"/>
      <c r="T111" s="35">
        <v>0</v>
      </c>
      <c r="U111" s="14"/>
      <c r="V111" s="34">
        <v>0</v>
      </c>
      <c r="W111" s="34"/>
      <c r="X111" s="14"/>
      <c r="Y111" s="14"/>
      <c r="Z111" s="14"/>
    </row>
    <row r="112" spans="1:26" ht="15" customHeight="1" x14ac:dyDescent="0.3">
      <c r="A112" s="11" t="s">
        <v>393</v>
      </c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36">
        <v>431.51</v>
      </c>
      <c r="N112" s="36"/>
      <c r="O112" s="36"/>
      <c r="P112" s="36"/>
      <c r="Q112" s="14"/>
      <c r="R112" s="37">
        <v>431.51</v>
      </c>
      <c r="S112" s="14"/>
      <c r="T112" s="37">
        <v>0</v>
      </c>
      <c r="U112" s="14"/>
      <c r="V112" s="36">
        <v>0</v>
      </c>
      <c r="W112" s="36"/>
      <c r="X112" s="14"/>
      <c r="Y112" s="14"/>
      <c r="Z112" s="14"/>
    </row>
    <row r="113" spans="1:26" ht="18" customHeight="1" x14ac:dyDescent="0.3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77">
        <v>2732.89</v>
      </c>
      <c r="N113" s="77"/>
      <c r="O113" s="77"/>
      <c r="P113" s="77"/>
      <c r="Q113" s="22"/>
      <c r="R113" s="39">
        <v>2732.89</v>
      </c>
      <c r="S113" s="22"/>
      <c r="T113" s="30">
        <v>0</v>
      </c>
      <c r="U113" s="22"/>
      <c r="V113" s="29">
        <v>0</v>
      </c>
      <c r="W113" s="29"/>
      <c r="X113" s="22"/>
      <c r="Y113" s="22"/>
      <c r="Z113" s="22"/>
    </row>
    <row r="114" spans="1:26" ht="11.25" customHeight="1" x14ac:dyDescent="0.3">
      <c r="A114" s="40" t="s">
        <v>394</v>
      </c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1"/>
      <c r="N114" s="41"/>
      <c r="O114" s="41"/>
      <c r="P114" s="41"/>
      <c r="Q114" s="50"/>
      <c r="R114" s="50"/>
      <c r="S114" s="50"/>
      <c r="T114" s="50"/>
      <c r="U114" s="50"/>
      <c r="V114" s="41"/>
      <c r="W114" s="41"/>
      <c r="X114" s="50"/>
      <c r="Y114" s="50"/>
      <c r="Z114" s="14"/>
    </row>
    <row r="115" spans="1:26" ht="25.95" customHeight="1" x14ac:dyDescent="0.3">
      <c r="A115" s="74" t="s">
        <v>365</v>
      </c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24" t="s">
        <v>342</v>
      </c>
      <c r="N115" s="24"/>
      <c r="O115" s="24"/>
      <c r="P115" s="24"/>
      <c r="Q115" s="22"/>
      <c r="R115" s="25" t="s">
        <v>343</v>
      </c>
      <c r="S115" s="22"/>
      <c r="T115" s="25" t="s">
        <v>344</v>
      </c>
      <c r="U115" s="22"/>
      <c r="V115" s="24" t="s">
        <v>345</v>
      </c>
      <c r="W115" s="24"/>
      <c r="X115" s="22"/>
      <c r="Y115" s="52" t="s">
        <v>346</v>
      </c>
      <c r="Z115" s="22"/>
    </row>
    <row r="116" spans="1:26" ht="15" customHeight="1" x14ac:dyDescent="0.3">
      <c r="A116" s="11" t="s">
        <v>395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76">
        <v>3821.92</v>
      </c>
      <c r="N116" s="76"/>
      <c r="O116" s="76"/>
      <c r="P116" s="76"/>
      <c r="Q116" s="14"/>
      <c r="R116" s="46">
        <v>3821.92</v>
      </c>
      <c r="S116" s="14"/>
      <c r="T116" s="47">
        <v>0</v>
      </c>
      <c r="U116" s="14"/>
      <c r="V116" s="48">
        <v>0</v>
      </c>
      <c r="W116" s="48"/>
      <c r="X116" s="14"/>
      <c r="Y116" s="14"/>
      <c r="Z116" s="14"/>
    </row>
    <row r="117" spans="1:26" ht="18" customHeight="1" x14ac:dyDescent="0.3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77">
        <v>3821.92</v>
      </c>
      <c r="N117" s="77"/>
      <c r="O117" s="77"/>
      <c r="P117" s="77"/>
      <c r="Q117" s="22"/>
      <c r="R117" s="39">
        <v>3821.92</v>
      </c>
      <c r="S117" s="22"/>
      <c r="T117" s="30">
        <v>0</v>
      </c>
      <c r="U117" s="22"/>
      <c r="V117" s="29">
        <v>0</v>
      </c>
      <c r="W117" s="29"/>
      <c r="X117" s="22"/>
      <c r="Y117" s="22"/>
      <c r="Z117" s="22"/>
    </row>
    <row r="118" spans="1:26" ht="12" customHeight="1" x14ac:dyDescent="0.3">
      <c r="A118" s="40" t="s">
        <v>396</v>
      </c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1"/>
      <c r="N118" s="41"/>
      <c r="O118" s="41"/>
      <c r="P118" s="41"/>
      <c r="Q118" s="50"/>
      <c r="R118" s="50"/>
      <c r="S118" s="50"/>
      <c r="T118" s="50"/>
      <c r="U118" s="50"/>
      <c r="V118" s="41"/>
      <c r="W118" s="41"/>
      <c r="X118" s="50"/>
      <c r="Y118" s="50"/>
      <c r="Z118" s="14"/>
    </row>
    <row r="119" spans="1:26" ht="25.05" customHeight="1" x14ac:dyDescent="0.3">
      <c r="A119" s="74" t="s">
        <v>365</v>
      </c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24" t="s">
        <v>342</v>
      </c>
      <c r="N119" s="24"/>
      <c r="O119" s="24"/>
      <c r="P119" s="24"/>
      <c r="Q119" s="22"/>
      <c r="R119" s="25" t="s">
        <v>343</v>
      </c>
      <c r="S119" s="22"/>
      <c r="T119" s="25" t="s">
        <v>344</v>
      </c>
      <c r="U119" s="22"/>
      <c r="V119" s="24" t="s">
        <v>345</v>
      </c>
      <c r="W119" s="24"/>
      <c r="X119" s="22"/>
      <c r="Y119" s="52" t="s">
        <v>346</v>
      </c>
      <c r="Z119" s="22"/>
    </row>
    <row r="120" spans="1:26" ht="13.05" customHeight="1" x14ac:dyDescent="0.3">
      <c r="A120" s="11" t="s">
        <v>397</v>
      </c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77">
        <v>3821.92</v>
      </c>
      <c r="N120" s="77"/>
      <c r="O120" s="77"/>
      <c r="P120" s="77"/>
      <c r="Q120" s="14"/>
      <c r="R120" s="39">
        <v>3821.92</v>
      </c>
      <c r="S120" s="14"/>
      <c r="T120" s="30">
        <v>0</v>
      </c>
      <c r="U120" s="14"/>
      <c r="V120" s="29">
        <v>0</v>
      </c>
      <c r="W120" s="29"/>
      <c r="X120" s="14"/>
      <c r="Y120" s="14"/>
      <c r="Z120" s="14"/>
    </row>
    <row r="121" spans="1:26" ht="15" customHeight="1" x14ac:dyDescent="0.3">
      <c r="A121" s="11" t="s">
        <v>398</v>
      </c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83">
        <v>2866.44</v>
      </c>
      <c r="N121" s="83"/>
      <c r="O121" s="83"/>
      <c r="P121" s="83"/>
      <c r="Q121" s="14"/>
      <c r="R121" s="54">
        <v>2866.44</v>
      </c>
      <c r="S121" s="14"/>
      <c r="T121" s="37">
        <v>0</v>
      </c>
      <c r="U121" s="14"/>
      <c r="V121" s="36">
        <v>0</v>
      </c>
      <c r="W121" s="36"/>
      <c r="X121" s="14"/>
      <c r="Y121" s="14"/>
      <c r="Z121" s="14"/>
    </row>
    <row r="122" spans="1:26" ht="18" customHeight="1" x14ac:dyDescent="0.3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77">
        <v>6688.36</v>
      </c>
      <c r="N122" s="77"/>
      <c r="O122" s="77"/>
      <c r="P122" s="77"/>
      <c r="Q122" s="22"/>
      <c r="R122" s="39">
        <v>6688.36</v>
      </c>
      <c r="S122" s="22"/>
      <c r="T122" s="30">
        <v>0</v>
      </c>
      <c r="U122" s="22"/>
      <c r="V122" s="29">
        <v>0</v>
      </c>
      <c r="W122" s="29"/>
      <c r="X122" s="22"/>
      <c r="Y122" s="22"/>
      <c r="Z122" s="22"/>
    </row>
    <row r="123" spans="1:26" ht="11.25" customHeight="1" x14ac:dyDescent="0.3">
      <c r="A123" s="58">
        <v>1033</v>
      </c>
      <c r="B123" s="58"/>
      <c r="C123" s="58"/>
      <c r="D123" s="81" t="s">
        <v>399</v>
      </c>
      <c r="E123" s="81"/>
      <c r="F123" s="81"/>
      <c r="G123" s="81"/>
      <c r="H123" s="81"/>
      <c r="I123" s="81"/>
      <c r="J123" s="8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14"/>
    </row>
    <row r="124" spans="1:26" ht="25.95" customHeight="1" x14ac:dyDescent="0.3">
      <c r="A124" s="38"/>
      <c r="B124" s="38"/>
      <c r="C124" s="38"/>
      <c r="D124" s="82" t="s">
        <v>340</v>
      </c>
      <c r="E124" s="82"/>
      <c r="F124" s="82"/>
      <c r="G124" s="82"/>
      <c r="H124" s="82"/>
      <c r="I124" s="82"/>
      <c r="J124" s="82"/>
      <c r="K124" s="78" t="s">
        <v>341</v>
      </c>
      <c r="L124" s="78"/>
      <c r="M124" s="10" t="s">
        <v>342</v>
      </c>
      <c r="N124" s="10"/>
      <c r="O124" s="10"/>
      <c r="P124" s="10"/>
      <c r="Q124" s="43" t="s">
        <v>343</v>
      </c>
      <c r="R124" s="43"/>
      <c r="S124" s="10" t="s">
        <v>344</v>
      </c>
      <c r="T124" s="10"/>
      <c r="U124" s="43" t="s">
        <v>345</v>
      </c>
      <c r="V124" s="43"/>
      <c r="W124" s="43"/>
      <c r="X124" s="44" t="s">
        <v>346</v>
      </c>
      <c r="Y124" s="44"/>
      <c r="Z124" s="22"/>
    </row>
    <row r="125" spans="1:26" ht="13.05" customHeight="1" x14ac:dyDescent="0.3">
      <c r="A125" s="11" t="s">
        <v>400</v>
      </c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4"/>
      <c r="M125" s="29">
        <v>764.38</v>
      </c>
      <c r="N125" s="29"/>
      <c r="O125" s="29"/>
      <c r="P125" s="29"/>
      <c r="Q125" s="14"/>
      <c r="R125" s="30">
        <v>764.38</v>
      </c>
      <c r="S125" s="14"/>
      <c r="T125" s="30">
        <v>0</v>
      </c>
      <c r="U125" s="14"/>
      <c r="V125" s="29">
        <v>0</v>
      </c>
      <c r="W125" s="29"/>
      <c r="X125" s="14"/>
      <c r="Y125" s="14"/>
      <c r="Z125" s="14"/>
    </row>
    <row r="126" spans="1:26" ht="13.95" customHeight="1" x14ac:dyDescent="0.3">
      <c r="A126" s="11" t="s">
        <v>401</v>
      </c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4"/>
      <c r="M126" s="36">
        <v>764.38</v>
      </c>
      <c r="N126" s="36"/>
      <c r="O126" s="36"/>
      <c r="P126" s="36"/>
      <c r="Q126" s="14"/>
      <c r="R126" s="37">
        <v>764.38</v>
      </c>
      <c r="S126" s="14"/>
      <c r="T126" s="37">
        <v>0</v>
      </c>
      <c r="U126" s="14"/>
      <c r="V126" s="36">
        <v>0</v>
      </c>
      <c r="W126" s="36"/>
      <c r="X126" s="14"/>
      <c r="Y126" s="14"/>
      <c r="Z126" s="14"/>
    </row>
    <row r="127" spans="1:26" ht="18" customHeight="1" x14ac:dyDescent="0.3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22"/>
      <c r="M127" s="77">
        <v>1528.76</v>
      </c>
      <c r="N127" s="77"/>
      <c r="O127" s="77"/>
      <c r="P127" s="77"/>
      <c r="Q127" s="22"/>
      <c r="R127" s="39">
        <v>1528.76</v>
      </c>
      <c r="S127" s="22"/>
      <c r="T127" s="30">
        <v>0</v>
      </c>
      <c r="U127" s="22"/>
      <c r="V127" s="29">
        <v>0</v>
      </c>
      <c r="W127" s="29"/>
      <c r="X127" s="22"/>
      <c r="Y127" s="22"/>
      <c r="Z127" s="22"/>
    </row>
    <row r="128" spans="1:26" ht="12" customHeight="1" x14ac:dyDescent="0.3">
      <c r="A128" s="40" t="s">
        <v>402</v>
      </c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50"/>
      <c r="M128" s="41"/>
      <c r="N128" s="41"/>
      <c r="O128" s="41"/>
      <c r="P128" s="41"/>
      <c r="Q128" s="50"/>
      <c r="R128" s="50"/>
      <c r="S128" s="50"/>
      <c r="T128" s="50"/>
      <c r="U128" s="50"/>
      <c r="V128" s="41"/>
      <c r="W128" s="41"/>
      <c r="X128" s="50"/>
      <c r="Y128" s="50"/>
      <c r="Z128" s="14"/>
    </row>
    <row r="129" spans="1:26" ht="25.05" customHeight="1" x14ac:dyDescent="0.3">
      <c r="A129" s="74" t="s">
        <v>365</v>
      </c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22"/>
      <c r="M129" s="24" t="s">
        <v>342</v>
      </c>
      <c r="N129" s="24"/>
      <c r="O129" s="24"/>
      <c r="P129" s="24"/>
      <c r="Q129" s="22"/>
      <c r="R129" s="25" t="s">
        <v>343</v>
      </c>
      <c r="S129" s="22"/>
      <c r="T129" s="25" t="s">
        <v>344</v>
      </c>
      <c r="U129" s="22"/>
      <c r="V129" s="24" t="s">
        <v>345</v>
      </c>
      <c r="W129" s="24"/>
      <c r="X129" s="22"/>
      <c r="Y129" s="52" t="s">
        <v>346</v>
      </c>
      <c r="Z129" s="22"/>
    </row>
    <row r="130" spans="1:26" ht="12.3" customHeight="1" x14ac:dyDescent="0.3">
      <c r="A130" s="11" t="s">
        <v>403</v>
      </c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4"/>
      <c r="M130" s="29">
        <v>382.19</v>
      </c>
      <c r="N130" s="29"/>
      <c r="O130" s="29"/>
      <c r="P130" s="29"/>
      <c r="Q130" s="14"/>
      <c r="R130" s="30">
        <v>382.19</v>
      </c>
      <c r="S130" s="14"/>
      <c r="T130" s="30">
        <v>0</v>
      </c>
      <c r="U130" s="14"/>
      <c r="V130" s="29">
        <v>0</v>
      </c>
      <c r="W130" s="29"/>
      <c r="X130" s="14"/>
      <c r="Y130" s="14"/>
      <c r="Z130" s="14"/>
    </row>
    <row r="131" spans="1:26" ht="11.25" customHeight="1" x14ac:dyDescent="0.3">
      <c r="A131" s="14"/>
      <c r="B131" s="20" t="s">
        <v>402</v>
      </c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6" customHeight="1" x14ac:dyDescent="0.3">
      <c r="A132" s="14"/>
      <c r="B132" s="14"/>
      <c r="C132" s="18"/>
      <c r="D132" s="18"/>
      <c r="E132" s="14"/>
      <c r="F132" s="18"/>
      <c r="G132" s="18"/>
      <c r="H132" s="14"/>
      <c r="I132" s="18"/>
      <c r="J132" s="18"/>
      <c r="K132" s="14"/>
      <c r="L132" s="14"/>
      <c r="M132" s="18"/>
      <c r="N132" s="18"/>
      <c r="O132" s="18"/>
      <c r="P132" s="18"/>
      <c r="Q132" s="14"/>
      <c r="R132" s="14"/>
      <c r="S132" s="14"/>
      <c r="T132" s="14"/>
      <c r="U132" s="14"/>
      <c r="V132" s="18"/>
      <c r="W132" s="18"/>
      <c r="X132" s="14"/>
      <c r="Y132" s="14"/>
      <c r="Z132" s="14"/>
    </row>
    <row r="133" spans="1:26" ht="22.5" customHeight="1" x14ac:dyDescent="0.3">
      <c r="A133" s="21" t="s">
        <v>340</v>
      </c>
      <c r="B133" s="21"/>
      <c r="C133" s="21"/>
      <c r="D133" s="21"/>
      <c r="E133" s="21"/>
      <c r="F133" s="21"/>
      <c r="G133" s="21"/>
      <c r="H133" s="51" t="s">
        <v>341</v>
      </c>
      <c r="I133" s="51"/>
      <c r="J133" s="51"/>
      <c r="K133" s="51"/>
      <c r="L133" s="22"/>
      <c r="M133" s="24" t="s">
        <v>342</v>
      </c>
      <c r="N133" s="24"/>
      <c r="O133" s="24"/>
      <c r="P133" s="24"/>
      <c r="Q133" s="22"/>
      <c r="R133" s="25" t="s">
        <v>343</v>
      </c>
      <c r="S133" s="22"/>
      <c r="T133" s="25" t="s">
        <v>344</v>
      </c>
      <c r="U133" s="22"/>
      <c r="V133" s="24" t="s">
        <v>345</v>
      </c>
      <c r="W133" s="24"/>
      <c r="X133" s="22"/>
      <c r="Y133" s="52" t="s">
        <v>346</v>
      </c>
      <c r="Z133" s="22"/>
    </row>
    <row r="134" spans="1:26" ht="13.95" customHeight="1" x14ac:dyDescent="0.3">
      <c r="A134" s="32">
        <v>1189</v>
      </c>
      <c r="B134" s="32"/>
      <c r="C134" s="32"/>
      <c r="D134" s="32"/>
      <c r="E134" s="32"/>
      <c r="F134" s="32"/>
      <c r="G134" s="32"/>
      <c r="H134" s="71" t="s">
        <v>347</v>
      </c>
      <c r="I134" s="71"/>
      <c r="J134" s="71"/>
      <c r="K134" s="71"/>
      <c r="L134" s="14"/>
      <c r="M134" s="29">
        <v>191.1</v>
      </c>
      <c r="N134" s="29"/>
      <c r="O134" s="29"/>
      <c r="P134" s="29"/>
      <c r="Q134" s="14"/>
      <c r="R134" s="30">
        <v>191.1</v>
      </c>
      <c r="S134" s="14"/>
      <c r="T134" s="30">
        <v>0</v>
      </c>
      <c r="U134" s="14"/>
      <c r="V134" s="29">
        <v>0</v>
      </c>
      <c r="W134" s="29"/>
      <c r="X134" s="14"/>
      <c r="Y134" s="14"/>
      <c r="Z134" s="14"/>
    </row>
    <row r="135" spans="1:26" ht="12" customHeight="1" x14ac:dyDescent="0.3">
      <c r="A135" s="32">
        <v>1266</v>
      </c>
      <c r="B135" s="32"/>
      <c r="C135" s="32"/>
      <c r="D135" s="32"/>
      <c r="E135" s="32"/>
      <c r="F135" s="32"/>
      <c r="G135" s="32"/>
      <c r="H135" s="71" t="s">
        <v>347</v>
      </c>
      <c r="I135" s="71"/>
      <c r="J135" s="71"/>
      <c r="K135" s="71"/>
      <c r="L135" s="14"/>
      <c r="M135" s="34">
        <v>382.19</v>
      </c>
      <c r="N135" s="34"/>
      <c r="O135" s="34"/>
      <c r="P135" s="34"/>
      <c r="Q135" s="14"/>
      <c r="R135" s="35">
        <v>382.19</v>
      </c>
      <c r="S135" s="14"/>
      <c r="T135" s="35">
        <v>0</v>
      </c>
      <c r="U135" s="14"/>
      <c r="V135" s="34">
        <v>0</v>
      </c>
      <c r="W135" s="34"/>
      <c r="X135" s="14"/>
      <c r="Y135" s="14"/>
      <c r="Z135" s="14"/>
    </row>
    <row r="136" spans="1:26" ht="13.95" customHeight="1" x14ac:dyDescent="0.3">
      <c r="A136" s="32">
        <v>1284</v>
      </c>
      <c r="B136" s="32"/>
      <c r="C136" s="32"/>
      <c r="D136" s="32"/>
      <c r="E136" s="32"/>
      <c r="F136" s="32"/>
      <c r="G136" s="32"/>
      <c r="H136" s="71" t="s">
        <v>347</v>
      </c>
      <c r="I136" s="71"/>
      <c r="J136" s="71"/>
      <c r="K136" s="71"/>
      <c r="L136" s="14"/>
      <c r="M136" s="83">
        <v>7223.42</v>
      </c>
      <c r="N136" s="83"/>
      <c r="O136" s="83"/>
      <c r="P136" s="83"/>
      <c r="Q136" s="14"/>
      <c r="R136" s="54">
        <v>7223.42</v>
      </c>
      <c r="S136" s="14"/>
      <c r="T136" s="37">
        <v>0</v>
      </c>
      <c r="U136" s="14"/>
      <c r="V136" s="36">
        <v>0</v>
      </c>
      <c r="W136" s="36"/>
      <c r="X136" s="14"/>
      <c r="Y136" s="14"/>
      <c r="Z136" s="14"/>
    </row>
    <row r="137" spans="1:26" ht="18" customHeight="1" x14ac:dyDescent="0.3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22"/>
      <c r="M137" s="77">
        <v>8178.9</v>
      </c>
      <c r="N137" s="77"/>
      <c r="O137" s="77"/>
      <c r="P137" s="77"/>
      <c r="Q137" s="22"/>
      <c r="R137" s="39">
        <v>8178.9</v>
      </c>
      <c r="S137" s="22"/>
      <c r="T137" s="30">
        <v>0</v>
      </c>
      <c r="U137" s="22"/>
      <c r="V137" s="29">
        <v>0</v>
      </c>
      <c r="W137" s="29"/>
      <c r="X137" s="22"/>
      <c r="Y137" s="22"/>
      <c r="Z137" s="22"/>
    </row>
    <row r="138" spans="1:26" ht="11.25" customHeight="1" x14ac:dyDescent="0.3">
      <c r="A138" s="40" t="s">
        <v>404</v>
      </c>
      <c r="B138" s="40"/>
      <c r="C138" s="40"/>
      <c r="D138" s="40"/>
      <c r="E138" s="40"/>
      <c r="F138" s="40"/>
      <c r="G138" s="40"/>
      <c r="H138" s="20" t="s">
        <v>405</v>
      </c>
      <c r="I138" s="20"/>
      <c r="J138" s="20"/>
      <c r="K138" s="20"/>
      <c r="L138" s="50"/>
      <c r="M138" s="41"/>
      <c r="N138" s="41"/>
      <c r="O138" s="41"/>
      <c r="P138" s="41"/>
      <c r="Q138" s="50"/>
      <c r="R138" s="50"/>
      <c r="S138" s="50"/>
      <c r="T138" s="50"/>
      <c r="U138" s="50"/>
      <c r="V138" s="41"/>
      <c r="W138" s="41"/>
      <c r="X138" s="50"/>
      <c r="Y138" s="50"/>
      <c r="Z138" s="14"/>
    </row>
    <row r="139" spans="1:26" ht="25.95" customHeight="1" x14ac:dyDescent="0.3">
      <c r="A139" s="21" t="s">
        <v>340</v>
      </c>
      <c r="B139" s="21"/>
      <c r="C139" s="21"/>
      <c r="D139" s="21"/>
      <c r="E139" s="21"/>
      <c r="F139" s="21"/>
      <c r="G139" s="21"/>
      <c r="H139" s="51" t="s">
        <v>341</v>
      </c>
      <c r="I139" s="51"/>
      <c r="J139" s="51"/>
      <c r="K139" s="51"/>
      <c r="L139" s="22"/>
      <c r="M139" s="24" t="s">
        <v>342</v>
      </c>
      <c r="N139" s="24"/>
      <c r="O139" s="24"/>
      <c r="P139" s="24"/>
      <c r="Q139" s="22"/>
      <c r="R139" s="25" t="s">
        <v>343</v>
      </c>
      <c r="S139" s="22"/>
      <c r="T139" s="25" t="s">
        <v>344</v>
      </c>
      <c r="U139" s="22"/>
      <c r="V139" s="24" t="s">
        <v>345</v>
      </c>
      <c r="W139" s="24"/>
      <c r="X139" s="22"/>
      <c r="Y139" s="52" t="s">
        <v>346</v>
      </c>
      <c r="Z139" s="22"/>
    </row>
    <row r="140" spans="1:26" ht="13.05" customHeight="1" x14ac:dyDescent="0.3">
      <c r="A140" s="32">
        <v>1120</v>
      </c>
      <c r="B140" s="32"/>
      <c r="C140" s="32"/>
      <c r="D140" s="32"/>
      <c r="E140" s="32"/>
      <c r="F140" s="32"/>
      <c r="G140" s="32"/>
      <c r="H140" s="71" t="s">
        <v>347</v>
      </c>
      <c r="I140" s="71"/>
      <c r="J140" s="71"/>
      <c r="K140" s="71"/>
      <c r="L140" s="14"/>
      <c r="M140" s="77">
        <v>1972.6</v>
      </c>
      <c r="N140" s="77"/>
      <c r="O140" s="77"/>
      <c r="P140" s="77"/>
      <c r="Q140" s="14"/>
      <c r="R140" s="39">
        <v>1972.6</v>
      </c>
      <c r="S140" s="14"/>
      <c r="T140" s="30">
        <v>0</v>
      </c>
      <c r="U140" s="14"/>
      <c r="V140" s="29">
        <v>0</v>
      </c>
      <c r="W140" s="29"/>
      <c r="X140" s="14"/>
      <c r="Y140" s="14"/>
      <c r="Z140" s="14"/>
    </row>
    <row r="141" spans="1:26" ht="15" customHeight="1" x14ac:dyDescent="0.3">
      <c r="A141" s="32">
        <v>1211</v>
      </c>
      <c r="B141" s="32"/>
      <c r="C141" s="32"/>
      <c r="D141" s="32"/>
      <c r="E141" s="32"/>
      <c r="F141" s="32"/>
      <c r="G141" s="32"/>
      <c r="H141" s="71" t="s">
        <v>347</v>
      </c>
      <c r="I141" s="71"/>
      <c r="J141" s="71"/>
      <c r="K141" s="71"/>
      <c r="L141" s="14"/>
      <c r="M141" s="83">
        <v>1910.96</v>
      </c>
      <c r="N141" s="83"/>
      <c r="O141" s="83"/>
      <c r="P141" s="83"/>
      <c r="Q141" s="14"/>
      <c r="R141" s="54">
        <v>1910.96</v>
      </c>
      <c r="S141" s="14"/>
      <c r="T141" s="37">
        <v>0</v>
      </c>
      <c r="U141" s="14"/>
      <c r="V141" s="36">
        <v>0</v>
      </c>
      <c r="W141" s="36"/>
      <c r="X141" s="14"/>
      <c r="Y141" s="14"/>
      <c r="Z141" s="14"/>
    </row>
    <row r="142" spans="1:26" ht="18" customHeight="1" x14ac:dyDescent="0.3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22"/>
      <c r="M142" s="77">
        <v>3883.56</v>
      </c>
      <c r="N142" s="77"/>
      <c r="O142" s="77"/>
      <c r="P142" s="77"/>
      <c r="Q142" s="22"/>
      <c r="R142" s="39">
        <v>3883.56</v>
      </c>
      <c r="S142" s="22"/>
      <c r="T142" s="30">
        <v>0</v>
      </c>
      <c r="U142" s="22"/>
      <c r="V142" s="29">
        <v>0</v>
      </c>
      <c r="W142" s="29"/>
      <c r="X142" s="22"/>
      <c r="Y142" s="22"/>
      <c r="Z142" s="22"/>
    </row>
    <row r="143" spans="1:26" ht="11.25" customHeight="1" x14ac:dyDescent="0.3">
      <c r="A143" s="58">
        <v>1036</v>
      </c>
      <c r="B143" s="58"/>
      <c r="C143" s="68" t="s">
        <v>406</v>
      </c>
      <c r="D143" s="68"/>
      <c r="E143" s="68"/>
      <c r="F143" s="68"/>
      <c r="G143" s="68"/>
      <c r="H143" s="68"/>
      <c r="I143" s="68"/>
      <c r="J143" s="68"/>
      <c r="K143" s="50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14"/>
    </row>
    <row r="144" spans="1:26" ht="25.95" customHeight="1" x14ac:dyDescent="0.3">
      <c r="A144" s="38"/>
      <c r="B144" s="38"/>
      <c r="C144" s="69" t="s">
        <v>340</v>
      </c>
      <c r="D144" s="69"/>
      <c r="E144" s="69"/>
      <c r="F144" s="69"/>
      <c r="G144" s="69"/>
      <c r="H144" s="69"/>
      <c r="I144" s="69"/>
      <c r="J144" s="69"/>
      <c r="K144" s="70" t="s">
        <v>341</v>
      </c>
      <c r="L144" s="43" t="s">
        <v>342</v>
      </c>
      <c r="M144" s="43"/>
      <c r="N144" s="43"/>
      <c r="O144" s="43"/>
      <c r="P144" s="43"/>
      <c r="Q144" s="43" t="s">
        <v>343</v>
      </c>
      <c r="R144" s="43"/>
      <c r="S144" s="10" t="s">
        <v>344</v>
      </c>
      <c r="T144" s="10"/>
      <c r="U144" s="43" t="s">
        <v>345</v>
      </c>
      <c r="V144" s="43"/>
      <c r="W144" s="43"/>
      <c r="X144" s="44" t="s">
        <v>346</v>
      </c>
      <c r="Y144" s="44"/>
      <c r="Z144" s="22"/>
    </row>
    <row r="145" spans="1:26" ht="15" customHeight="1" x14ac:dyDescent="0.3">
      <c r="A145" s="32">
        <v>1295</v>
      </c>
      <c r="B145" s="32"/>
      <c r="C145" s="32"/>
      <c r="D145" s="32"/>
      <c r="E145" s="32"/>
      <c r="F145" s="84" t="s">
        <v>407</v>
      </c>
      <c r="G145" s="84"/>
      <c r="H145" s="84"/>
      <c r="I145" s="84"/>
      <c r="J145" s="84"/>
      <c r="K145" s="84"/>
      <c r="L145" s="14"/>
      <c r="M145" s="76">
        <v>1324.93</v>
      </c>
      <c r="N145" s="76"/>
      <c r="O145" s="76"/>
      <c r="P145" s="76"/>
      <c r="Q145" s="14"/>
      <c r="R145" s="46">
        <v>1324.93</v>
      </c>
      <c r="S145" s="14"/>
      <c r="T145" s="47">
        <v>0</v>
      </c>
      <c r="U145" s="14"/>
      <c r="V145" s="48">
        <v>0</v>
      </c>
      <c r="W145" s="48"/>
      <c r="X145" s="14"/>
      <c r="Y145" s="14"/>
      <c r="Z145" s="14"/>
    </row>
    <row r="146" spans="1:26" ht="18" customHeight="1" x14ac:dyDescent="0.3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22"/>
      <c r="M146" s="77">
        <v>1324.93</v>
      </c>
      <c r="N146" s="77"/>
      <c r="O146" s="77"/>
      <c r="P146" s="77"/>
      <c r="Q146" s="22"/>
      <c r="R146" s="39">
        <v>1324.93</v>
      </c>
      <c r="S146" s="22"/>
      <c r="T146" s="30">
        <v>0</v>
      </c>
      <c r="U146" s="22"/>
      <c r="V146" s="29">
        <v>0</v>
      </c>
      <c r="W146" s="29"/>
      <c r="X146" s="22"/>
      <c r="Y146" s="22"/>
      <c r="Z146" s="22"/>
    </row>
    <row r="147" spans="1:26" ht="11.25" customHeight="1" x14ac:dyDescent="0.3">
      <c r="A147" s="40" t="s">
        <v>408</v>
      </c>
      <c r="B147" s="40"/>
      <c r="C147" s="40"/>
      <c r="D147" s="40"/>
      <c r="E147" s="40"/>
      <c r="F147" s="20" t="s">
        <v>409</v>
      </c>
      <c r="G147" s="20"/>
      <c r="H147" s="20"/>
      <c r="I147" s="20"/>
      <c r="J147" s="20"/>
      <c r="K147" s="20"/>
      <c r="L147" s="50"/>
      <c r="M147" s="41"/>
      <c r="N147" s="41"/>
      <c r="O147" s="41"/>
      <c r="P147" s="41"/>
      <c r="Q147" s="50"/>
      <c r="R147" s="50"/>
      <c r="S147" s="50"/>
      <c r="T147" s="50"/>
      <c r="U147" s="50"/>
      <c r="V147" s="41"/>
      <c r="W147" s="41"/>
      <c r="X147" s="50"/>
      <c r="Y147" s="50"/>
      <c r="Z147" s="14"/>
    </row>
    <row r="148" spans="1:26" ht="25.95" customHeight="1" x14ac:dyDescent="0.3">
      <c r="A148" s="21" t="s">
        <v>340</v>
      </c>
      <c r="B148" s="21"/>
      <c r="C148" s="21"/>
      <c r="D148" s="21"/>
      <c r="E148" s="21"/>
      <c r="F148" s="51" t="s">
        <v>341</v>
      </c>
      <c r="G148" s="51"/>
      <c r="H148" s="51"/>
      <c r="I148" s="51"/>
      <c r="J148" s="51"/>
      <c r="K148" s="51"/>
      <c r="L148" s="22"/>
      <c r="M148" s="24" t="s">
        <v>342</v>
      </c>
      <c r="N148" s="24"/>
      <c r="O148" s="24"/>
      <c r="P148" s="24"/>
      <c r="Q148" s="22"/>
      <c r="R148" s="25" t="s">
        <v>343</v>
      </c>
      <c r="S148" s="22"/>
      <c r="T148" s="25" t="s">
        <v>344</v>
      </c>
      <c r="U148" s="22"/>
      <c r="V148" s="24" t="s">
        <v>345</v>
      </c>
      <c r="W148" s="24"/>
      <c r="X148" s="22"/>
      <c r="Y148" s="52" t="s">
        <v>346</v>
      </c>
      <c r="Z148" s="22"/>
    </row>
    <row r="149" spans="1:26" ht="13.05" customHeight="1" x14ac:dyDescent="0.3">
      <c r="A149" s="32">
        <v>1199</v>
      </c>
      <c r="B149" s="32"/>
      <c r="C149" s="32"/>
      <c r="D149" s="32"/>
      <c r="E149" s="32"/>
      <c r="F149" s="84" t="s">
        <v>347</v>
      </c>
      <c r="G149" s="84"/>
      <c r="H149" s="84"/>
      <c r="I149" s="84"/>
      <c r="J149" s="84"/>
      <c r="K149" s="84"/>
      <c r="L149" s="14"/>
      <c r="M149" s="77">
        <v>1222.5999999999999</v>
      </c>
      <c r="N149" s="77"/>
      <c r="O149" s="77"/>
      <c r="P149" s="77"/>
      <c r="Q149" s="14"/>
      <c r="R149" s="39">
        <v>1222.5999999999999</v>
      </c>
      <c r="S149" s="14"/>
      <c r="T149" s="30">
        <v>0</v>
      </c>
      <c r="U149" s="14"/>
      <c r="V149" s="29">
        <v>0</v>
      </c>
      <c r="W149" s="29"/>
      <c r="X149" s="14"/>
      <c r="Y149" s="14"/>
      <c r="Z149" s="14"/>
    </row>
    <row r="150" spans="1:26" ht="15" customHeight="1" x14ac:dyDescent="0.3">
      <c r="A150" s="32">
        <v>1200</v>
      </c>
      <c r="B150" s="32"/>
      <c r="C150" s="32"/>
      <c r="D150" s="32"/>
      <c r="E150" s="32"/>
      <c r="F150" s="84" t="s">
        <v>347</v>
      </c>
      <c r="G150" s="84"/>
      <c r="H150" s="84"/>
      <c r="I150" s="84"/>
      <c r="J150" s="84"/>
      <c r="K150" s="84"/>
      <c r="L150" s="14"/>
      <c r="M150" s="83">
        <v>1299.45</v>
      </c>
      <c r="N150" s="83"/>
      <c r="O150" s="83"/>
      <c r="P150" s="83"/>
      <c r="Q150" s="14"/>
      <c r="R150" s="54">
        <v>1299.45</v>
      </c>
      <c r="S150" s="14"/>
      <c r="T150" s="37">
        <v>0</v>
      </c>
      <c r="U150" s="14"/>
      <c r="V150" s="36">
        <v>0</v>
      </c>
      <c r="W150" s="36"/>
      <c r="X150" s="14"/>
      <c r="Y150" s="14"/>
      <c r="Z150" s="14"/>
    </row>
    <row r="151" spans="1:26" ht="18" customHeight="1" x14ac:dyDescent="0.3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22"/>
      <c r="M151" s="77">
        <v>2522.0500000000002</v>
      </c>
      <c r="N151" s="77"/>
      <c r="O151" s="77"/>
      <c r="P151" s="77"/>
      <c r="Q151" s="22"/>
      <c r="R151" s="39">
        <v>2522.0500000000002</v>
      </c>
      <c r="S151" s="22"/>
      <c r="T151" s="30">
        <v>0</v>
      </c>
      <c r="U151" s="22"/>
      <c r="V151" s="29">
        <v>0</v>
      </c>
      <c r="W151" s="29"/>
      <c r="X151" s="22"/>
      <c r="Y151" s="22"/>
      <c r="Z151" s="22"/>
    </row>
    <row r="152" spans="1:26" ht="11.25" customHeight="1" x14ac:dyDescent="0.3">
      <c r="A152" s="58">
        <v>1039</v>
      </c>
      <c r="B152" s="58"/>
      <c r="C152" s="68" t="s">
        <v>410</v>
      </c>
      <c r="D152" s="68"/>
      <c r="E152" s="68"/>
      <c r="F152" s="68"/>
      <c r="G152" s="68"/>
      <c r="H152" s="68"/>
      <c r="I152" s="68"/>
      <c r="J152" s="68"/>
      <c r="K152" s="50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14"/>
    </row>
    <row r="153" spans="1:26" ht="25.95" customHeight="1" x14ac:dyDescent="0.3">
      <c r="A153" s="38"/>
      <c r="B153" s="38"/>
      <c r="C153" s="69" t="s">
        <v>340</v>
      </c>
      <c r="D153" s="69"/>
      <c r="E153" s="69"/>
      <c r="F153" s="69"/>
      <c r="G153" s="69"/>
      <c r="H153" s="69"/>
      <c r="I153" s="69"/>
      <c r="J153" s="69"/>
      <c r="K153" s="70" t="s">
        <v>341</v>
      </c>
      <c r="L153" s="43" t="s">
        <v>342</v>
      </c>
      <c r="M153" s="43"/>
      <c r="N153" s="43"/>
      <c r="O153" s="43"/>
      <c r="P153" s="43"/>
      <c r="Q153" s="43" t="s">
        <v>343</v>
      </c>
      <c r="R153" s="43"/>
      <c r="S153" s="10" t="s">
        <v>344</v>
      </c>
      <c r="T153" s="10"/>
      <c r="U153" s="43" t="s">
        <v>345</v>
      </c>
      <c r="V153" s="43"/>
      <c r="W153" s="43"/>
      <c r="X153" s="44" t="s">
        <v>346</v>
      </c>
      <c r="Y153" s="44"/>
      <c r="Z153" s="22"/>
    </row>
    <row r="154" spans="1:26" ht="15" customHeight="1" x14ac:dyDescent="0.3">
      <c r="A154" s="55">
        <v>1047</v>
      </c>
      <c r="B154" s="55"/>
      <c r="C154" s="55"/>
      <c r="D154" s="55"/>
      <c r="E154" s="11" t="s">
        <v>347</v>
      </c>
      <c r="F154" s="11"/>
      <c r="G154" s="11"/>
      <c r="H154" s="11"/>
      <c r="I154" s="11"/>
      <c r="J154" s="11"/>
      <c r="K154" s="11"/>
      <c r="L154" s="14"/>
      <c r="M154" s="76">
        <v>3945.21</v>
      </c>
      <c r="N154" s="76"/>
      <c r="O154" s="76"/>
      <c r="P154" s="76"/>
      <c r="Q154" s="14"/>
      <c r="R154" s="46">
        <v>3945.21</v>
      </c>
      <c r="S154" s="14"/>
      <c r="T154" s="47">
        <v>0</v>
      </c>
      <c r="U154" s="14"/>
      <c r="V154" s="56">
        <v>0</v>
      </c>
      <c r="W154" s="56"/>
      <c r="X154" s="56"/>
      <c r="Y154" s="56"/>
      <c r="Z154" s="14"/>
    </row>
    <row r="155" spans="1:26" ht="18" customHeight="1" x14ac:dyDescent="0.3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22"/>
      <c r="M155" s="77">
        <v>3945.21</v>
      </c>
      <c r="N155" s="77"/>
      <c r="O155" s="77"/>
      <c r="P155" s="77"/>
      <c r="Q155" s="22"/>
      <c r="R155" s="39">
        <v>3945.21</v>
      </c>
      <c r="S155" s="22"/>
      <c r="T155" s="30">
        <v>0</v>
      </c>
      <c r="U155" s="22"/>
      <c r="V155" s="56">
        <v>0</v>
      </c>
      <c r="W155" s="56"/>
      <c r="X155" s="56"/>
      <c r="Y155" s="56"/>
      <c r="Z155" s="22"/>
    </row>
    <row r="156" spans="1:26" ht="11.25" customHeight="1" x14ac:dyDescent="0.3">
      <c r="A156" s="58">
        <v>1040</v>
      </c>
      <c r="B156" s="58"/>
      <c r="C156" s="58"/>
      <c r="D156" s="58"/>
      <c r="E156" s="59" t="s">
        <v>411</v>
      </c>
      <c r="F156" s="59"/>
      <c r="G156" s="59"/>
      <c r="H156" s="59"/>
      <c r="I156" s="59"/>
      <c r="J156" s="59"/>
      <c r="K156" s="59"/>
      <c r="L156" s="50"/>
      <c r="M156" s="41"/>
      <c r="N156" s="41"/>
      <c r="O156" s="41"/>
      <c r="P156" s="41"/>
      <c r="Q156" s="50"/>
      <c r="R156" s="50"/>
      <c r="S156" s="50"/>
      <c r="T156" s="50"/>
      <c r="U156" s="50"/>
      <c r="V156" s="41"/>
      <c r="W156" s="41"/>
      <c r="X156" s="41"/>
      <c r="Y156" s="41"/>
      <c r="Z156" s="14"/>
    </row>
    <row r="157" spans="1:26" ht="25.95" customHeight="1" x14ac:dyDescent="0.3">
      <c r="A157" s="21" t="s">
        <v>340</v>
      </c>
      <c r="B157" s="21"/>
      <c r="C157" s="21"/>
      <c r="D157" s="21"/>
      <c r="E157" s="21"/>
      <c r="F157" s="21"/>
      <c r="G157" s="21"/>
      <c r="H157" s="22"/>
      <c r="I157" s="23" t="s">
        <v>341</v>
      </c>
      <c r="J157" s="23"/>
      <c r="K157" s="23"/>
      <c r="L157" s="22"/>
      <c r="M157" s="24" t="s">
        <v>342</v>
      </c>
      <c r="N157" s="24"/>
      <c r="O157" s="24"/>
      <c r="P157" s="24"/>
      <c r="Q157" s="22"/>
      <c r="R157" s="25" t="s">
        <v>343</v>
      </c>
      <c r="S157" s="22"/>
      <c r="T157" s="25" t="s">
        <v>344</v>
      </c>
      <c r="U157" s="22"/>
      <c r="V157" s="24" t="s">
        <v>345</v>
      </c>
      <c r="W157" s="24"/>
      <c r="X157" s="22"/>
      <c r="Y157" s="26" t="s">
        <v>346</v>
      </c>
      <c r="Z157" s="22"/>
    </row>
    <row r="158" spans="1:26" ht="13.05" customHeight="1" x14ac:dyDescent="0.3">
      <c r="A158" s="27">
        <v>1113</v>
      </c>
      <c r="B158" s="27"/>
      <c r="C158" s="27"/>
      <c r="D158" s="27"/>
      <c r="E158" s="27"/>
      <c r="F158" s="27"/>
      <c r="G158" s="27"/>
      <c r="H158" s="14"/>
      <c r="I158" s="28" t="s">
        <v>347</v>
      </c>
      <c r="J158" s="28"/>
      <c r="K158" s="28"/>
      <c r="L158" s="14"/>
      <c r="M158" s="77">
        <v>5260.27</v>
      </c>
      <c r="N158" s="77"/>
      <c r="O158" s="77"/>
      <c r="P158" s="77"/>
      <c r="Q158" s="14"/>
      <c r="R158" s="39">
        <v>5260.27</v>
      </c>
      <c r="S158" s="14"/>
      <c r="T158" s="30">
        <v>0</v>
      </c>
      <c r="U158" s="14"/>
      <c r="V158" s="29">
        <v>0</v>
      </c>
      <c r="W158" s="29"/>
      <c r="X158" s="14"/>
      <c r="Y158" s="31"/>
      <c r="Z158" s="14"/>
    </row>
    <row r="159" spans="1:26" ht="12" customHeight="1" x14ac:dyDescent="0.3">
      <c r="A159" s="32">
        <v>1114</v>
      </c>
      <c r="B159" s="32"/>
      <c r="C159" s="32"/>
      <c r="D159" s="32"/>
      <c r="E159" s="32"/>
      <c r="F159" s="32"/>
      <c r="G159" s="32"/>
      <c r="H159" s="14"/>
      <c r="I159" s="33" t="s">
        <v>347</v>
      </c>
      <c r="J159" s="33"/>
      <c r="K159" s="33"/>
      <c r="L159" s="14"/>
      <c r="M159" s="80">
        <v>1315.07</v>
      </c>
      <c r="N159" s="80"/>
      <c r="O159" s="80"/>
      <c r="P159" s="80"/>
      <c r="Q159" s="14"/>
      <c r="R159" s="57">
        <v>1315.07</v>
      </c>
      <c r="S159" s="14"/>
      <c r="T159" s="35">
        <v>0</v>
      </c>
      <c r="U159" s="14"/>
      <c r="V159" s="34">
        <v>0</v>
      </c>
      <c r="W159" s="34"/>
      <c r="X159" s="14"/>
      <c r="Y159" s="14"/>
      <c r="Z159" s="14"/>
    </row>
    <row r="160" spans="1:26" ht="15" customHeight="1" x14ac:dyDescent="0.3">
      <c r="A160" s="32">
        <v>1244</v>
      </c>
      <c r="B160" s="32"/>
      <c r="C160" s="32"/>
      <c r="D160" s="32"/>
      <c r="E160" s="32"/>
      <c r="F160" s="32"/>
      <c r="G160" s="32"/>
      <c r="H160" s="14"/>
      <c r="I160" s="33" t="s">
        <v>347</v>
      </c>
      <c r="J160" s="33"/>
      <c r="K160" s="33"/>
      <c r="L160" s="14"/>
      <c r="M160" s="83">
        <v>3249.3</v>
      </c>
      <c r="N160" s="83"/>
      <c r="O160" s="83"/>
      <c r="P160" s="83"/>
      <c r="Q160" s="14"/>
      <c r="R160" s="54">
        <v>3249.3</v>
      </c>
      <c r="S160" s="14"/>
      <c r="T160" s="37">
        <v>0</v>
      </c>
      <c r="U160" s="14"/>
      <c r="V160" s="36">
        <v>0</v>
      </c>
      <c r="W160" s="36"/>
      <c r="X160" s="14"/>
      <c r="Y160" s="14"/>
      <c r="Z160" s="14"/>
    </row>
    <row r="161" spans="1:26" ht="18" customHeight="1" x14ac:dyDescent="0.3">
      <c r="A161" s="38"/>
      <c r="B161" s="38"/>
      <c r="C161" s="38"/>
      <c r="D161" s="38"/>
      <c r="E161" s="38"/>
      <c r="F161" s="38"/>
      <c r="G161" s="38"/>
      <c r="H161" s="22"/>
      <c r="I161" s="38"/>
      <c r="J161" s="38"/>
      <c r="K161" s="38"/>
      <c r="L161" s="22"/>
      <c r="M161" s="77">
        <v>9824.64</v>
      </c>
      <c r="N161" s="77"/>
      <c r="O161" s="77"/>
      <c r="P161" s="77"/>
      <c r="Q161" s="22"/>
      <c r="R161" s="39">
        <v>9824.64</v>
      </c>
      <c r="S161" s="22"/>
      <c r="T161" s="30">
        <v>0</v>
      </c>
      <c r="U161" s="22"/>
      <c r="V161" s="29">
        <v>0</v>
      </c>
      <c r="W161" s="29"/>
      <c r="X161" s="22"/>
      <c r="Y161" s="22"/>
      <c r="Z161" s="22"/>
    </row>
    <row r="162" spans="1:26" ht="11.25" customHeight="1" x14ac:dyDescent="0.3">
      <c r="A162" s="58">
        <v>1041</v>
      </c>
      <c r="B162" s="58"/>
      <c r="C162" s="68" t="s">
        <v>412</v>
      </c>
      <c r="D162" s="68"/>
      <c r="E162" s="68"/>
      <c r="F162" s="68"/>
      <c r="G162" s="68"/>
      <c r="H162" s="68"/>
      <c r="I162" s="68"/>
      <c r="J162" s="68"/>
      <c r="K162" s="50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14"/>
    </row>
    <row r="163" spans="1:26" ht="25.95" customHeight="1" x14ac:dyDescent="0.3">
      <c r="A163" s="38"/>
      <c r="B163" s="38"/>
      <c r="C163" s="69" t="s">
        <v>340</v>
      </c>
      <c r="D163" s="69"/>
      <c r="E163" s="69"/>
      <c r="F163" s="69"/>
      <c r="G163" s="69"/>
      <c r="H163" s="69"/>
      <c r="I163" s="69"/>
      <c r="J163" s="69"/>
      <c r="K163" s="70" t="s">
        <v>341</v>
      </c>
      <c r="L163" s="43" t="s">
        <v>342</v>
      </c>
      <c r="M163" s="43"/>
      <c r="N163" s="43"/>
      <c r="O163" s="43"/>
      <c r="P163" s="43"/>
      <c r="Q163" s="43" t="s">
        <v>343</v>
      </c>
      <c r="R163" s="43"/>
      <c r="S163" s="10" t="s">
        <v>344</v>
      </c>
      <c r="T163" s="10"/>
      <c r="U163" s="43" t="s">
        <v>345</v>
      </c>
      <c r="V163" s="43"/>
      <c r="W163" s="43"/>
      <c r="X163" s="44" t="s">
        <v>346</v>
      </c>
      <c r="Y163" s="44"/>
      <c r="Z163" s="22"/>
    </row>
    <row r="164" spans="1:26" ht="13.05" customHeight="1" x14ac:dyDescent="0.3">
      <c r="A164" s="11" t="s">
        <v>413</v>
      </c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4"/>
      <c r="M164" s="77">
        <v>2630.14</v>
      </c>
      <c r="N164" s="77"/>
      <c r="O164" s="77"/>
      <c r="P164" s="77"/>
      <c r="Q164" s="14"/>
      <c r="R164" s="39">
        <v>2630.14</v>
      </c>
      <c r="S164" s="14"/>
      <c r="T164" s="30">
        <v>0</v>
      </c>
      <c r="U164" s="14"/>
      <c r="V164" s="29">
        <v>0</v>
      </c>
      <c r="W164" s="29"/>
      <c r="X164" s="14"/>
      <c r="Y164" s="14"/>
      <c r="Z164" s="14"/>
    </row>
    <row r="165" spans="1:26" ht="12" customHeight="1" x14ac:dyDescent="0.3">
      <c r="A165" s="11" t="s">
        <v>414</v>
      </c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4"/>
      <c r="M165" s="34">
        <v>764.38</v>
      </c>
      <c r="N165" s="34"/>
      <c r="O165" s="34"/>
      <c r="P165" s="34"/>
      <c r="Q165" s="14"/>
      <c r="R165" s="35">
        <v>764.38</v>
      </c>
      <c r="S165" s="14"/>
      <c r="T165" s="35">
        <v>0</v>
      </c>
      <c r="U165" s="14"/>
      <c r="V165" s="34">
        <v>0</v>
      </c>
      <c r="W165" s="34"/>
      <c r="X165" s="14"/>
      <c r="Y165" s="14"/>
      <c r="Z165" s="14"/>
    </row>
    <row r="166" spans="1:26" ht="13.95" customHeight="1" x14ac:dyDescent="0.3">
      <c r="A166" s="11" t="s">
        <v>415</v>
      </c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4"/>
      <c r="M166" s="36">
        <v>764.38</v>
      </c>
      <c r="N166" s="36"/>
      <c r="O166" s="36"/>
      <c r="P166" s="36"/>
      <c r="Q166" s="14"/>
      <c r="R166" s="37">
        <v>764.38</v>
      </c>
      <c r="S166" s="14"/>
      <c r="T166" s="37">
        <v>0</v>
      </c>
      <c r="U166" s="14"/>
      <c r="V166" s="36">
        <v>0</v>
      </c>
      <c r="W166" s="36"/>
      <c r="X166" s="14"/>
      <c r="Y166" s="14"/>
      <c r="Z166" s="14"/>
    </row>
    <row r="167" spans="1:26" ht="18" customHeight="1" x14ac:dyDescent="0.3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22"/>
      <c r="M167" s="77">
        <v>4158.8999999999996</v>
      </c>
      <c r="N167" s="77"/>
      <c r="O167" s="77"/>
      <c r="P167" s="77"/>
      <c r="Q167" s="22"/>
      <c r="R167" s="39">
        <v>4158.8999999999996</v>
      </c>
      <c r="S167" s="22"/>
      <c r="T167" s="30">
        <v>0</v>
      </c>
      <c r="U167" s="22"/>
      <c r="V167" s="29">
        <v>0</v>
      </c>
      <c r="W167" s="29"/>
      <c r="X167" s="22"/>
      <c r="Y167" s="22"/>
      <c r="Z167" s="22"/>
    </row>
    <row r="168" spans="1:26" ht="12" customHeight="1" x14ac:dyDescent="0.3">
      <c r="A168" s="40" t="s">
        <v>416</v>
      </c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50"/>
      <c r="M168" s="41"/>
      <c r="N168" s="41"/>
      <c r="O168" s="41"/>
      <c r="P168" s="41"/>
      <c r="Q168" s="50"/>
      <c r="R168" s="50"/>
      <c r="S168" s="50"/>
      <c r="T168" s="50"/>
      <c r="U168" s="50"/>
      <c r="V168" s="41"/>
      <c r="W168" s="41"/>
      <c r="X168" s="50"/>
      <c r="Y168" s="50"/>
      <c r="Z168" s="14"/>
    </row>
    <row r="169" spans="1:26" ht="25.05" customHeight="1" x14ac:dyDescent="0.3">
      <c r="A169" s="74" t="s">
        <v>365</v>
      </c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22"/>
      <c r="M169" s="24" t="s">
        <v>342</v>
      </c>
      <c r="N169" s="24"/>
      <c r="O169" s="24"/>
      <c r="P169" s="24"/>
      <c r="Q169" s="22"/>
      <c r="R169" s="25" t="s">
        <v>343</v>
      </c>
      <c r="S169" s="22"/>
      <c r="T169" s="25" t="s">
        <v>344</v>
      </c>
      <c r="U169" s="22"/>
      <c r="V169" s="24" t="s">
        <v>345</v>
      </c>
      <c r="W169" s="24"/>
      <c r="X169" s="22"/>
      <c r="Y169" s="52" t="s">
        <v>346</v>
      </c>
      <c r="Z169" s="22"/>
    </row>
    <row r="170" spans="1:26" ht="13.05" customHeight="1" x14ac:dyDescent="0.3">
      <c r="A170" s="11" t="s">
        <v>417</v>
      </c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4"/>
      <c r="M170" s="29">
        <v>591.78</v>
      </c>
      <c r="N170" s="29"/>
      <c r="O170" s="29"/>
      <c r="P170" s="29"/>
      <c r="Q170" s="14"/>
      <c r="R170" s="30">
        <v>591.78</v>
      </c>
      <c r="S170" s="14"/>
      <c r="T170" s="30">
        <v>0</v>
      </c>
      <c r="U170" s="14"/>
      <c r="V170" s="29">
        <v>0</v>
      </c>
      <c r="W170" s="29"/>
      <c r="X170" s="14"/>
      <c r="Y170" s="14"/>
      <c r="Z170" s="14"/>
    </row>
    <row r="171" spans="1:26" ht="15" customHeight="1" x14ac:dyDescent="0.3">
      <c r="A171" s="11" t="s">
        <v>418</v>
      </c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4"/>
      <c r="M171" s="36">
        <v>920.55</v>
      </c>
      <c r="N171" s="36"/>
      <c r="O171" s="36"/>
      <c r="P171" s="36"/>
      <c r="Q171" s="14"/>
      <c r="R171" s="37">
        <v>920.55</v>
      </c>
      <c r="S171" s="14"/>
      <c r="T171" s="37">
        <v>0</v>
      </c>
      <c r="U171" s="14"/>
      <c r="V171" s="36">
        <v>0</v>
      </c>
      <c r="W171" s="36"/>
      <c r="X171" s="14"/>
      <c r="Y171" s="14"/>
      <c r="Z171" s="14"/>
    </row>
    <row r="172" spans="1:26" ht="11.25" customHeight="1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4"/>
      <c r="M172" s="77">
        <v>1512.33</v>
      </c>
      <c r="N172" s="77"/>
      <c r="O172" s="77"/>
      <c r="P172" s="77"/>
      <c r="Q172" s="14"/>
      <c r="R172" s="39">
        <v>1512.33</v>
      </c>
      <c r="S172" s="14"/>
      <c r="T172" s="30">
        <v>0</v>
      </c>
      <c r="U172" s="14"/>
      <c r="V172" s="29">
        <v>0</v>
      </c>
      <c r="W172" s="29"/>
      <c r="X172" s="14"/>
      <c r="Y172" s="14"/>
      <c r="Z172" s="14"/>
    </row>
    <row r="173" spans="1:26" ht="11.25" customHeight="1" x14ac:dyDescent="0.3">
      <c r="A173" s="14"/>
      <c r="B173" s="20" t="s">
        <v>419</v>
      </c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</row>
    <row r="174" spans="1:26" ht="6" customHeight="1" x14ac:dyDescent="0.3">
      <c r="A174" s="14"/>
      <c r="B174" s="14"/>
      <c r="C174" s="18"/>
      <c r="D174" s="18"/>
      <c r="E174" s="18"/>
      <c r="F174" s="18"/>
      <c r="G174" s="18"/>
      <c r="H174" s="14"/>
      <c r="I174" s="18"/>
      <c r="J174" s="18"/>
      <c r="K174" s="14"/>
      <c r="L174" s="14"/>
      <c r="M174" s="18"/>
      <c r="N174" s="18"/>
      <c r="O174" s="18"/>
      <c r="P174" s="14"/>
      <c r="Q174" s="14"/>
      <c r="R174" s="14"/>
      <c r="S174" s="14"/>
      <c r="T174" s="14"/>
      <c r="U174" s="14"/>
      <c r="V174" s="18"/>
      <c r="W174" s="18"/>
      <c r="X174" s="14"/>
      <c r="Y174" s="14"/>
      <c r="Z174" s="14"/>
    </row>
    <row r="175" spans="1:26" ht="22.5" customHeight="1" x14ac:dyDescent="0.3">
      <c r="A175" s="21" t="s">
        <v>340</v>
      </c>
      <c r="B175" s="21"/>
      <c r="C175" s="21"/>
      <c r="D175" s="21"/>
      <c r="E175" s="21"/>
      <c r="F175" s="21"/>
      <c r="G175" s="21"/>
      <c r="H175" s="22"/>
      <c r="I175" s="23" t="s">
        <v>341</v>
      </c>
      <c r="J175" s="23"/>
      <c r="K175" s="23"/>
      <c r="L175" s="22"/>
      <c r="M175" s="24" t="s">
        <v>342</v>
      </c>
      <c r="N175" s="24"/>
      <c r="O175" s="24"/>
      <c r="P175" s="24"/>
      <c r="Q175" s="22"/>
      <c r="R175" s="25" t="s">
        <v>343</v>
      </c>
      <c r="S175" s="22"/>
      <c r="T175" s="25" t="s">
        <v>344</v>
      </c>
      <c r="U175" s="22"/>
      <c r="V175" s="24" t="s">
        <v>345</v>
      </c>
      <c r="W175" s="24"/>
      <c r="X175" s="22"/>
      <c r="Y175" s="26" t="s">
        <v>346</v>
      </c>
      <c r="Z175" s="22"/>
    </row>
    <row r="176" spans="1:26" ht="13.95" customHeight="1" x14ac:dyDescent="0.3">
      <c r="A176" s="27">
        <v>1053</v>
      </c>
      <c r="B176" s="27"/>
      <c r="C176" s="27"/>
      <c r="D176" s="27"/>
      <c r="E176" s="27"/>
      <c r="F176" s="27"/>
      <c r="G176" s="27"/>
      <c r="H176" s="14"/>
      <c r="I176" s="28" t="s">
        <v>347</v>
      </c>
      <c r="J176" s="28"/>
      <c r="K176" s="28"/>
      <c r="L176" s="14"/>
      <c r="M176" s="49">
        <v>1972.6</v>
      </c>
      <c r="N176" s="49"/>
      <c r="O176" s="49"/>
      <c r="P176" s="49"/>
      <c r="Q176" s="14"/>
      <c r="R176" s="39">
        <v>1972.6</v>
      </c>
      <c r="S176" s="14"/>
      <c r="T176" s="30">
        <v>0</v>
      </c>
      <c r="U176" s="14"/>
      <c r="V176" s="29">
        <v>0</v>
      </c>
      <c r="W176" s="29"/>
      <c r="X176" s="14"/>
      <c r="Y176" s="31"/>
      <c r="Z176" s="14"/>
    </row>
    <row r="177" spans="1:26" ht="12" customHeight="1" x14ac:dyDescent="0.3">
      <c r="A177" s="32">
        <v>1150</v>
      </c>
      <c r="B177" s="32"/>
      <c r="C177" s="32"/>
      <c r="D177" s="32"/>
      <c r="E177" s="32"/>
      <c r="F177" s="32"/>
      <c r="G177" s="32"/>
      <c r="H177" s="14"/>
      <c r="I177" s="33" t="s">
        <v>347</v>
      </c>
      <c r="J177" s="33"/>
      <c r="K177" s="33"/>
      <c r="L177" s="14"/>
      <c r="M177" s="85">
        <v>4931.51</v>
      </c>
      <c r="N177" s="85"/>
      <c r="O177" s="85"/>
      <c r="P177" s="85"/>
      <c r="Q177" s="14"/>
      <c r="R177" s="57">
        <v>4931.51</v>
      </c>
      <c r="S177" s="14"/>
      <c r="T177" s="35">
        <v>0</v>
      </c>
      <c r="U177" s="14"/>
      <c r="V177" s="34">
        <v>0</v>
      </c>
      <c r="W177" s="34"/>
      <c r="X177" s="14"/>
      <c r="Y177" s="14"/>
      <c r="Z177" s="14"/>
    </row>
    <row r="178" spans="1:26" ht="12" customHeight="1" x14ac:dyDescent="0.3">
      <c r="A178" s="32">
        <v>1154</v>
      </c>
      <c r="B178" s="32"/>
      <c r="C178" s="32"/>
      <c r="D178" s="32"/>
      <c r="E178" s="32"/>
      <c r="F178" s="32"/>
      <c r="G178" s="32"/>
      <c r="H178" s="14"/>
      <c r="I178" s="33" t="s">
        <v>347</v>
      </c>
      <c r="J178" s="33"/>
      <c r="K178" s="33"/>
      <c r="L178" s="14"/>
      <c r="M178" s="85">
        <v>1972.6</v>
      </c>
      <c r="N178" s="85"/>
      <c r="O178" s="85"/>
      <c r="P178" s="85"/>
      <c r="Q178" s="14"/>
      <c r="R178" s="57">
        <v>1972.6</v>
      </c>
      <c r="S178" s="14"/>
      <c r="T178" s="35">
        <v>0</v>
      </c>
      <c r="U178" s="14"/>
      <c r="V178" s="34">
        <v>0</v>
      </c>
      <c r="W178" s="34"/>
      <c r="X178" s="14"/>
      <c r="Y178" s="14"/>
      <c r="Z178" s="14"/>
    </row>
    <row r="179" spans="1:26" ht="12" customHeight="1" x14ac:dyDescent="0.3">
      <c r="A179" s="32">
        <v>1163</v>
      </c>
      <c r="B179" s="32"/>
      <c r="C179" s="32"/>
      <c r="D179" s="32"/>
      <c r="E179" s="32"/>
      <c r="F179" s="32"/>
      <c r="G179" s="32"/>
      <c r="H179" s="14"/>
      <c r="I179" s="33" t="s">
        <v>347</v>
      </c>
      <c r="J179" s="33"/>
      <c r="K179" s="33"/>
      <c r="L179" s="14"/>
      <c r="M179" s="85">
        <v>7397.26</v>
      </c>
      <c r="N179" s="85"/>
      <c r="O179" s="85"/>
      <c r="P179" s="85"/>
      <c r="Q179" s="14"/>
      <c r="R179" s="57">
        <v>7397.26</v>
      </c>
      <c r="S179" s="14"/>
      <c r="T179" s="35">
        <v>0</v>
      </c>
      <c r="U179" s="14"/>
      <c r="V179" s="34">
        <v>0</v>
      </c>
      <c r="W179" s="34"/>
      <c r="X179" s="14"/>
      <c r="Y179" s="14"/>
      <c r="Z179" s="14"/>
    </row>
    <row r="180" spans="1:26" ht="13.95" customHeight="1" x14ac:dyDescent="0.3">
      <c r="A180" s="32">
        <v>1254</v>
      </c>
      <c r="B180" s="32"/>
      <c r="C180" s="32"/>
      <c r="D180" s="32"/>
      <c r="E180" s="32"/>
      <c r="F180" s="32"/>
      <c r="G180" s="32"/>
      <c r="H180" s="14"/>
      <c r="I180" s="33" t="s">
        <v>347</v>
      </c>
      <c r="J180" s="33"/>
      <c r="K180" s="33"/>
      <c r="L180" s="14"/>
      <c r="M180" s="62">
        <v>986.3</v>
      </c>
      <c r="N180" s="62"/>
      <c r="O180" s="62"/>
      <c r="P180" s="62"/>
      <c r="Q180" s="14"/>
      <c r="R180" s="37">
        <v>986.3</v>
      </c>
      <c r="S180" s="14"/>
      <c r="T180" s="37">
        <v>0</v>
      </c>
      <c r="U180" s="14"/>
      <c r="V180" s="36">
        <v>0</v>
      </c>
      <c r="W180" s="36"/>
      <c r="X180" s="14"/>
      <c r="Y180" s="14"/>
      <c r="Z180" s="14"/>
    </row>
    <row r="181" spans="1:26" ht="18" customHeight="1" x14ac:dyDescent="0.3">
      <c r="A181" s="38"/>
      <c r="B181" s="38"/>
      <c r="C181" s="38"/>
      <c r="D181" s="38"/>
      <c r="E181" s="38"/>
      <c r="F181" s="38"/>
      <c r="G181" s="38"/>
      <c r="H181" s="22"/>
      <c r="I181" s="38"/>
      <c r="J181" s="38"/>
      <c r="K181" s="38"/>
      <c r="L181" s="22"/>
      <c r="M181" s="73">
        <v>17260.27</v>
      </c>
      <c r="N181" s="73"/>
      <c r="O181" s="73"/>
      <c r="P181" s="73"/>
      <c r="Q181" s="22"/>
      <c r="R181" s="39">
        <v>17260.27</v>
      </c>
      <c r="S181" s="22"/>
      <c r="T181" s="30">
        <v>0</v>
      </c>
      <c r="U181" s="22"/>
      <c r="V181" s="29">
        <v>0</v>
      </c>
      <c r="W181" s="29"/>
      <c r="X181" s="22"/>
      <c r="Y181" s="22"/>
      <c r="Z181" s="22"/>
    </row>
    <row r="182" spans="1:26" ht="12" customHeight="1" x14ac:dyDescent="0.3">
      <c r="A182" s="40" t="s">
        <v>420</v>
      </c>
      <c r="B182" s="40"/>
      <c r="C182" s="40"/>
      <c r="D182" s="40"/>
      <c r="E182" s="40"/>
      <c r="F182" s="40"/>
      <c r="G182" s="40"/>
      <c r="H182" s="40"/>
      <c r="I182" s="40"/>
      <c r="J182" s="40"/>
      <c r="K182" s="40"/>
      <c r="L182" s="50"/>
      <c r="M182" s="41"/>
      <c r="N182" s="41"/>
      <c r="O182" s="41"/>
      <c r="P182" s="41"/>
      <c r="Q182" s="50"/>
      <c r="R182" s="50"/>
      <c r="S182" s="50"/>
      <c r="T182" s="50"/>
      <c r="U182" s="50"/>
      <c r="V182" s="41"/>
      <c r="W182" s="41"/>
      <c r="X182" s="50"/>
      <c r="Y182" s="50"/>
      <c r="Z182" s="14"/>
    </row>
    <row r="183" spans="1:26" ht="25.05" customHeight="1" x14ac:dyDescent="0.3">
      <c r="A183" s="74" t="s">
        <v>365</v>
      </c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22"/>
      <c r="M183" s="24" t="s">
        <v>342</v>
      </c>
      <c r="N183" s="24"/>
      <c r="O183" s="24"/>
      <c r="P183" s="24"/>
      <c r="Q183" s="22"/>
      <c r="R183" s="25" t="s">
        <v>343</v>
      </c>
      <c r="S183" s="22"/>
      <c r="T183" s="25" t="s">
        <v>344</v>
      </c>
      <c r="U183" s="22"/>
      <c r="V183" s="24" t="s">
        <v>345</v>
      </c>
      <c r="W183" s="24"/>
      <c r="X183" s="22"/>
      <c r="Y183" s="52" t="s">
        <v>346</v>
      </c>
      <c r="Z183" s="22"/>
    </row>
    <row r="184" spans="1:26" ht="16.05" customHeight="1" x14ac:dyDescent="0.3">
      <c r="A184" s="11" t="s">
        <v>421</v>
      </c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4"/>
      <c r="M184" s="45">
        <v>1146.58</v>
      </c>
      <c r="N184" s="45"/>
      <c r="O184" s="45"/>
      <c r="P184" s="45"/>
      <c r="Q184" s="14"/>
      <c r="R184" s="46">
        <v>1146.58</v>
      </c>
      <c r="S184" s="14"/>
      <c r="T184" s="47">
        <v>0</v>
      </c>
      <c r="U184" s="14"/>
      <c r="V184" s="48">
        <v>0</v>
      </c>
      <c r="W184" s="48"/>
      <c r="X184" s="14"/>
      <c r="Y184" s="14"/>
      <c r="Z184" s="14"/>
    </row>
    <row r="185" spans="1:26" ht="18" customHeight="1" x14ac:dyDescent="0.3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22"/>
      <c r="M185" s="49">
        <v>1146.58</v>
      </c>
      <c r="N185" s="49"/>
      <c r="O185" s="49"/>
      <c r="P185" s="49"/>
      <c r="Q185" s="22"/>
      <c r="R185" s="39">
        <v>1146.58</v>
      </c>
      <c r="S185" s="22"/>
      <c r="T185" s="30">
        <v>0</v>
      </c>
      <c r="U185" s="22"/>
      <c r="V185" s="29">
        <v>0</v>
      </c>
      <c r="W185" s="29"/>
      <c r="X185" s="22"/>
      <c r="Y185" s="22"/>
      <c r="Z185" s="22"/>
    </row>
    <row r="186" spans="1:26" ht="11.25" customHeight="1" x14ac:dyDescent="0.3">
      <c r="A186" s="58">
        <v>1047</v>
      </c>
      <c r="B186" s="58"/>
      <c r="C186" s="68" t="s">
        <v>422</v>
      </c>
      <c r="D186" s="68"/>
      <c r="E186" s="68"/>
      <c r="F186" s="68"/>
      <c r="G186" s="68"/>
      <c r="H186" s="68"/>
      <c r="I186" s="68"/>
      <c r="J186" s="68"/>
      <c r="K186" s="50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14"/>
    </row>
    <row r="187" spans="1:26" ht="25.95" customHeight="1" x14ac:dyDescent="0.3">
      <c r="A187" s="38"/>
      <c r="B187" s="38"/>
      <c r="C187" s="69" t="s">
        <v>340</v>
      </c>
      <c r="D187" s="69"/>
      <c r="E187" s="69"/>
      <c r="F187" s="69"/>
      <c r="G187" s="69"/>
      <c r="H187" s="69"/>
      <c r="I187" s="69"/>
      <c r="J187" s="69"/>
      <c r="K187" s="70" t="s">
        <v>341</v>
      </c>
      <c r="L187" s="43" t="s">
        <v>342</v>
      </c>
      <c r="M187" s="43"/>
      <c r="N187" s="43"/>
      <c r="O187" s="43"/>
      <c r="P187" s="43"/>
      <c r="Q187" s="43" t="s">
        <v>343</v>
      </c>
      <c r="R187" s="43"/>
      <c r="S187" s="10" t="s">
        <v>344</v>
      </c>
      <c r="T187" s="10"/>
      <c r="U187" s="43" t="s">
        <v>345</v>
      </c>
      <c r="V187" s="43"/>
      <c r="W187" s="43"/>
      <c r="X187" s="44" t="s">
        <v>346</v>
      </c>
      <c r="Y187" s="44"/>
      <c r="Z187" s="22"/>
    </row>
    <row r="188" spans="1:26" ht="15" customHeight="1" x14ac:dyDescent="0.3">
      <c r="A188" s="32">
        <v>1061</v>
      </c>
      <c r="B188" s="32"/>
      <c r="C188" s="32"/>
      <c r="D188" s="32"/>
      <c r="E188" s="32"/>
      <c r="F188" s="32"/>
      <c r="G188" s="32"/>
      <c r="H188" s="32"/>
      <c r="I188" s="33" t="s">
        <v>347</v>
      </c>
      <c r="J188" s="33"/>
      <c r="K188" s="33"/>
      <c r="L188" s="33"/>
      <c r="M188" s="33"/>
      <c r="N188" s="33"/>
      <c r="O188" s="33"/>
      <c r="P188" s="47">
        <v>657.53</v>
      </c>
      <c r="Q188" s="14"/>
      <c r="R188" s="47">
        <v>657.53</v>
      </c>
      <c r="S188" s="14"/>
      <c r="T188" s="47">
        <v>0</v>
      </c>
      <c r="U188" s="14"/>
      <c r="V188" s="48">
        <v>0</v>
      </c>
      <c r="W188" s="48"/>
      <c r="X188" s="14"/>
      <c r="Y188" s="14"/>
      <c r="Z188" s="14"/>
    </row>
    <row r="189" spans="1:26" ht="18" customHeight="1" x14ac:dyDescent="0.3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0">
        <v>657.53</v>
      </c>
      <c r="Q189" s="22"/>
      <c r="R189" s="30">
        <v>657.53</v>
      </c>
      <c r="S189" s="22"/>
      <c r="T189" s="30">
        <v>0</v>
      </c>
      <c r="U189" s="22"/>
      <c r="V189" s="29">
        <v>0</v>
      </c>
      <c r="W189" s="29"/>
      <c r="X189" s="22"/>
      <c r="Y189" s="22"/>
      <c r="Z189" s="22"/>
    </row>
    <row r="190" spans="1:26" ht="11.25" customHeight="1" x14ac:dyDescent="0.3">
      <c r="A190" s="40" t="s">
        <v>423</v>
      </c>
      <c r="B190" s="40"/>
      <c r="C190" s="40"/>
      <c r="D190" s="40"/>
      <c r="E190" s="40"/>
      <c r="F190" s="40"/>
      <c r="G190" s="40"/>
      <c r="H190" s="40"/>
      <c r="I190" s="20" t="s">
        <v>424</v>
      </c>
      <c r="J190" s="20"/>
      <c r="K190" s="20"/>
      <c r="L190" s="20"/>
      <c r="M190" s="20"/>
      <c r="N190" s="20"/>
      <c r="O190" s="20"/>
      <c r="P190" s="50"/>
      <c r="Q190" s="50"/>
      <c r="R190" s="50"/>
      <c r="S190" s="50"/>
      <c r="T190" s="50"/>
      <c r="U190" s="50"/>
      <c r="V190" s="41"/>
      <c r="W190" s="41"/>
      <c r="X190" s="50"/>
      <c r="Y190" s="50"/>
      <c r="Z190" s="14"/>
    </row>
    <row r="191" spans="1:26" ht="25.95" customHeight="1" x14ac:dyDescent="0.3">
      <c r="A191" s="21" t="s">
        <v>340</v>
      </c>
      <c r="B191" s="21"/>
      <c r="C191" s="21"/>
      <c r="D191" s="21"/>
      <c r="E191" s="21"/>
      <c r="F191" s="21"/>
      <c r="G191" s="21"/>
      <c r="H191" s="21"/>
      <c r="I191" s="86" t="s">
        <v>341</v>
      </c>
      <c r="J191" s="86"/>
      <c r="K191" s="86"/>
      <c r="L191" s="86"/>
      <c r="M191" s="86"/>
      <c r="N191" s="86"/>
      <c r="O191" s="86"/>
      <c r="P191" s="87" t="s">
        <v>342</v>
      </c>
      <c r="Q191" s="22"/>
      <c r="R191" s="25" t="s">
        <v>343</v>
      </c>
      <c r="S191" s="22"/>
      <c r="T191" s="25" t="s">
        <v>344</v>
      </c>
      <c r="U191" s="22"/>
      <c r="V191" s="24" t="s">
        <v>345</v>
      </c>
      <c r="W191" s="24"/>
      <c r="X191" s="22"/>
      <c r="Y191" s="52" t="s">
        <v>346</v>
      </c>
      <c r="Z191" s="22"/>
    </row>
    <row r="192" spans="1:26" ht="13.05" customHeight="1" x14ac:dyDescent="0.3">
      <c r="A192" s="32">
        <v>1230</v>
      </c>
      <c r="B192" s="32"/>
      <c r="C192" s="32"/>
      <c r="D192" s="32"/>
      <c r="E192" s="32"/>
      <c r="F192" s="32"/>
      <c r="G192" s="32"/>
      <c r="H192" s="32"/>
      <c r="I192" s="33" t="s">
        <v>347</v>
      </c>
      <c r="J192" s="33"/>
      <c r="K192" s="33"/>
      <c r="L192" s="33"/>
      <c r="M192" s="33"/>
      <c r="N192" s="33"/>
      <c r="O192" s="33"/>
      <c r="P192" s="30">
        <v>0</v>
      </c>
      <c r="Q192" s="14"/>
      <c r="R192" s="39">
        <v>7149.87</v>
      </c>
      <c r="S192" s="14"/>
      <c r="T192" s="39">
        <v>-7149.87</v>
      </c>
      <c r="U192" s="14"/>
      <c r="V192" s="29">
        <v>0</v>
      </c>
      <c r="W192" s="29"/>
      <c r="X192" s="14"/>
      <c r="Y192" s="14"/>
      <c r="Z192" s="14"/>
    </row>
    <row r="193" spans="1:26" ht="15" customHeight="1" x14ac:dyDescent="0.3">
      <c r="A193" s="32">
        <v>1240</v>
      </c>
      <c r="B193" s="32"/>
      <c r="C193" s="32"/>
      <c r="D193" s="32"/>
      <c r="E193" s="32"/>
      <c r="F193" s="32"/>
      <c r="G193" s="32"/>
      <c r="H193" s="32"/>
      <c r="I193" s="33" t="s">
        <v>347</v>
      </c>
      <c r="J193" s="33"/>
      <c r="K193" s="33"/>
      <c r="L193" s="33"/>
      <c r="M193" s="33"/>
      <c r="N193" s="33"/>
      <c r="O193" s="33"/>
      <c r="P193" s="37">
        <v>0</v>
      </c>
      <c r="Q193" s="14"/>
      <c r="R193" s="37">
        <v>794.43</v>
      </c>
      <c r="S193" s="14"/>
      <c r="T193" s="37">
        <v>-794.43</v>
      </c>
      <c r="U193" s="14"/>
      <c r="V193" s="36">
        <v>0</v>
      </c>
      <c r="W193" s="36"/>
      <c r="X193" s="14"/>
      <c r="Y193" s="14"/>
      <c r="Z193" s="14"/>
    </row>
    <row r="194" spans="1:26" ht="18" customHeight="1" x14ac:dyDescent="0.3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0">
        <v>0</v>
      </c>
      <c r="Q194" s="22"/>
      <c r="R194" s="39">
        <v>7944.3</v>
      </c>
      <c r="S194" s="22"/>
      <c r="T194" s="39">
        <v>-7944.3</v>
      </c>
      <c r="U194" s="22"/>
      <c r="V194" s="29">
        <v>0</v>
      </c>
      <c r="W194" s="29"/>
      <c r="X194" s="22"/>
      <c r="Y194" s="22"/>
      <c r="Z194" s="22"/>
    </row>
    <row r="195" spans="1:26" ht="11.25" customHeight="1" x14ac:dyDescent="0.3">
      <c r="A195" s="58">
        <v>1049</v>
      </c>
      <c r="B195" s="58"/>
      <c r="C195" s="68" t="s">
        <v>425</v>
      </c>
      <c r="D195" s="68"/>
      <c r="E195" s="68"/>
      <c r="F195" s="68"/>
      <c r="G195" s="68"/>
      <c r="H195" s="68"/>
      <c r="I195" s="68"/>
      <c r="J195" s="68"/>
      <c r="K195" s="50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14"/>
    </row>
    <row r="196" spans="1:26" ht="25.95" customHeight="1" x14ac:dyDescent="0.3">
      <c r="A196" s="38"/>
      <c r="B196" s="38"/>
      <c r="C196" s="69" t="s">
        <v>340</v>
      </c>
      <c r="D196" s="69"/>
      <c r="E196" s="69"/>
      <c r="F196" s="69"/>
      <c r="G196" s="69"/>
      <c r="H196" s="69"/>
      <c r="I196" s="69"/>
      <c r="J196" s="69"/>
      <c r="K196" s="70" t="s">
        <v>341</v>
      </c>
      <c r="L196" s="43" t="s">
        <v>342</v>
      </c>
      <c r="M196" s="43"/>
      <c r="N196" s="43"/>
      <c r="O196" s="43"/>
      <c r="P196" s="43"/>
      <c r="Q196" s="43" t="s">
        <v>343</v>
      </c>
      <c r="R196" s="43"/>
      <c r="S196" s="10" t="s">
        <v>344</v>
      </c>
      <c r="T196" s="10"/>
      <c r="U196" s="43" t="s">
        <v>345</v>
      </c>
      <c r="V196" s="43"/>
      <c r="W196" s="43"/>
      <c r="X196" s="44" t="s">
        <v>346</v>
      </c>
      <c r="Y196" s="44"/>
      <c r="Z196" s="22"/>
    </row>
    <row r="197" spans="1:26" ht="15" customHeight="1" x14ac:dyDescent="0.3">
      <c r="A197" s="32">
        <v>1174</v>
      </c>
      <c r="B197" s="32"/>
      <c r="C197" s="32"/>
      <c r="D197" s="32"/>
      <c r="E197" s="32"/>
      <c r="F197" s="32"/>
      <c r="G197" s="32"/>
      <c r="H197" s="14"/>
      <c r="I197" s="28" t="s">
        <v>347</v>
      </c>
      <c r="J197" s="28"/>
      <c r="K197" s="28"/>
      <c r="L197" s="14"/>
      <c r="M197" s="45">
        <v>7261.64</v>
      </c>
      <c r="N197" s="45"/>
      <c r="O197" s="45"/>
      <c r="P197" s="45"/>
      <c r="Q197" s="14"/>
      <c r="R197" s="46">
        <v>7261.64</v>
      </c>
      <c r="S197" s="14"/>
      <c r="T197" s="47">
        <v>0</v>
      </c>
      <c r="U197" s="14"/>
      <c r="V197" s="48">
        <v>0</v>
      </c>
      <c r="W197" s="48"/>
      <c r="X197" s="14"/>
      <c r="Y197" s="14"/>
      <c r="Z197" s="14"/>
    </row>
    <row r="198" spans="1:26" ht="18" customHeight="1" x14ac:dyDescent="0.3">
      <c r="A198" s="38"/>
      <c r="B198" s="38"/>
      <c r="C198" s="38"/>
      <c r="D198" s="38"/>
      <c r="E198" s="38"/>
      <c r="F198" s="38"/>
      <c r="G198" s="38"/>
      <c r="H198" s="22"/>
      <c r="I198" s="38"/>
      <c r="J198" s="38"/>
      <c r="K198" s="38"/>
      <c r="L198" s="22"/>
      <c r="M198" s="49">
        <v>7261.64</v>
      </c>
      <c r="N198" s="49"/>
      <c r="O198" s="49"/>
      <c r="P198" s="49"/>
      <c r="Q198" s="22"/>
      <c r="R198" s="39">
        <v>7261.64</v>
      </c>
      <c r="S198" s="22"/>
      <c r="T198" s="30">
        <v>0</v>
      </c>
      <c r="U198" s="22"/>
      <c r="V198" s="29">
        <v>0</v>
      </c>
      <c r="W198" s="29"/>
      <c r="X198" s="22"/>
      <c r="Y198" s="22"/>
      <c r="Z198" s="22"/>
    </row>
    <row r="199" spans="1:26" ht="11.25" customHeight="1" x14ac:dyDescent="0.3">
      <c r="A199" s="40" t="s">
        <v>426</v>
      </c>
      <c r="B199" s="40"/>
      <c r="C199" s="40"/>
      <c r="D199" s="40"/>
      <c r="E199" s="40"/>
      <c r="F199" s="40"/>
      <c r="G199" s="40"/>
      <c r="H199" s="20" t="s">
        <v>427</v>
      </c>
      <c r="I199" s="20"/>
      <c r="J199" s="20"/>
      <c r="K199" s="20"/>
      <c r="L199" s="50"/>
      <c r="M199" s="41"/>
      <c r="N199" s="41"/>
      <c r="O199" s="41"/>
      <c r="P199" s="41"/>
      <c r="Q199" s="50"/>
      <c r="R199" s="50"/>
      <c r="S199" s="50"/>
      <c r="T199" s="50"/>
      <c r="U199" s="50"/>
      <c r="V199" s="41"/>
      <c r="W199" s="41"/>
      <c r="X199" s="50"/>
      <c r="Y199" s="50"/>
      <c r="Z199" s="14"/>
    </row>
    <row r="200" spans="1:26" ht="25.95" customHeight="1" x14ac:dyDescent="0.3">
      <c r="A200" s="21" t="s">
        <v>340</v>
      </c>
      <c r="B200" s="21"/>
      <c r="C200" s="21"/>
      <c r="D200" s="21"/>
      <c r="E200" s="21"/>
      <c r="F200" s="21"/>
      <c r="G200" s="21"/>
      <c r="H200" s="22"/>
      <c r="I200" s="23" t="s">
        <v>341</v>
      </c>
      <c r="J200" s="23"/>
      <c r="K200" s="23"/>
      <c r="L200" s="22"/>
      <c r="M200" s="24" t="s">
        <v>342</v>
      </c>
      <c r="N200" s="24"/>
      <c r="O200" s="24"/>
      <c r="P200" s="24"/>
      <c r="Q200" s="22"/>
      <c r="R200" s="25" t="s">
        <v>343</v>
      </c>
      <c r="S200" s="22"/>
      <c r="T200" s="25" t="s">
        <v>344</v>
      </c>
      <c r="U200" s="22"/>
      <c r="V200" s="24" t="s">
        <v>345</v>
      </c>
      <c r="W200" s="24"/>
      <c r="X200" s="22"/>
      <c r="Y200" s="52" t="s">
        <v>346</v>
      </c>
      <c r="Z200" s="22"/>
    </row>
    <row r="201" spans="1:26" ht="13.05" customHeight="1" x14ac:dyDescent="0.3">
      <c r="A201" s="32">
        <v>1065</v>
      </c>
      <c r="B201" s="32"/>
      <c r="C201" s="32"/>
      <c r="D201" s="32"/>
      <c r="E201" s="32"/>
      <c r="F201" s="32"/>
      <c r="G201" s="32"/>
      <c r="H201" s="14"/>
      <c r="I201" s="28" t="s">
        <v>347</v>
      </c>
      <c r="J201" s="28"/>
      <c r="K201" s="28"/>
      <c r="L201" s="14"/>
      <c r="M201" s="49">
        <v>2301.37</v>
      </c>
      <c r="N201" s="49"/>
      <c r="O201" s="49"/>
      <c r="P201" s="49"/>
      <c r="Q201" s="14"/>
      <c r="R201" s="39">
        <v>2301.37</v>
      </c>
      <c r="S201" s="14"/>
      <c r="T201" s="30">
        <v>0</v>
      </c>
      <c r="U201" s="14"/>
      <c r="V201" s="29">
        <v>0</v>
      </c>
      <c r="W201" s="29"/>
      <c r="X201" s="14"/>
      <c r="Y201" s="14"/>
      <c r="Z201" s="14"/>
    </row>
    <row r="202" spans="1:26" ht="15" customHeight="1" x14ac:dyDescent="0.3">
      <c r="A202" s="32">
        <v>1202</v>
      </c>
      <c r="B202" s="32"/>
      <c r="C202" s="32"/>
      <c r="D202" s="32"/>
      <c r="E202" s="32"/>
      <c r="F202" s="32"/>
      <c r="G202" s="32"/>
      <c r="H202" s="14"/>
      <c r="I202" s="33" t="s">
        <v>347</v>
      </c>
      <c r="J202" s="33"/>
      <c r="K202" s="33"/>
      <c r="L202" s="14"/>
      <c r="M202" s="53">
        <v>3057.53</v>
      </c>
      <c r="N202" s="53"/>
      <c r="O202" s="53"/>
      <c r="P202" s="53"/>
      <c r="Q202" s="14"/>
      <c r="R202" s="54">
        <v>3057.53</v>
      </c>
      <c r="S202" s="14"/>
      <c r="T202" s="37">
        <v>0</v>
      </c>
      <c r="U202" s="14"/>
      <c r="V202" s="36">
        <v>0</v>
      </c>
      <c r="W202" s="36"/>
      <c r="X202" s="14"/>
      <c r="Y202" s="14"/>
      <c r="Z202" s="14"/>
    </row>
    <row r="203" spans="1:26" ht="18" customHeight="1" x14ac:dyDescent="0.3">
      <c r="A203" s="38"/>
      <c r="B203" s="38"/>
      <c r="C203" s="38"/>
      <c r="D203" s="38"/>
      <c r="E203" s="38"/>
      <c r="F203" s="38"/>
      <c r="G203" s="38"/>
      <c r="H203" s="22"/>
      <c r="I203" s="38"/>
      <c r="J203" s="38"/>
      <c r="K203" s="38"/>
      <c r="L203" s="22"/>
      <c r="M203" s="49">
        <v>5358.9</v>
      </c>
      <c r="N203" s="49"/>
      <c r="O203" s="49"/>
      <c r="P203" s="49"/>
      <c r="Q203" s="22"/>
      <c r="R203" s="39">
        <v>5358.9</v>
      </c>
      <c r="S203" s="22"/>
      <c r="T203" s="30">
        <v>0</v>
      </c>
      <c r="U203" s="22"/>
      <c r="V203" s="29">
        <v>0</v>
      </c>
      <c r="W203" s="29"/>
      <c r="X203" s="22"/>
      <c r="Y203" s="22"/>
      <c r="Z203" s="22"/>
    </row>
    <row r="204" spans="1:26" ht="11.25" customHeight="1" x14ac:dyDescent="0.3">
      <c r="A204" s="58">
        <v>1054</v>
      </c>
      <c r="B204" s="58"/>
      <c r="C204" s="68" t="s">
        <v>428</v>
      </c>
      <c r="D204" s="68"/>
      <c r="E204" s="68"/>
      <c r="F204" s="68"/>
      <c r="G204" s="68"/>
      <c r="H204" s="68"/>
      <c r="I204" s="68"/>
      <c r="J204" s="68"/>
      <c r="K204" s="50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14"/>
    </row>
    <row r="205" spans="1:26" ht="25.95" customHeight="1" x14ac:dyDescent="0.3">
      <c r="A205" s="38"/>
      <c r="B205" s="38"/>
      <c r="C205" s="69" t="s">
        <v>340</v>
      </c>
      <c r="D205" s="69"/>
      <c r="E205" s="69"/>
      <c r="F205" s="69"/>
      <c r="G205" s="69"/>
      <c r="H205" s="69"/>
      <c r="I205" s="69"/>
      <c r="J205" s="69"/>
      <c r="K205" s="70" t="s">
        <v>341</v>
      </c>
      <c r="L205" s="43" t="s">
        <v>342</v>
      </c>
      <c r="M205" s="43"/>
      <c r="N205" s="43"/>
      <c r="O205" s="43"/>
      <c r="P205" s="43"/>
      <c r="Q205" s="43" t="s">
        <v>343</v>
      </c>
      <c r="R205" s="43"/>
      <c r="S205" s="10" t="s">
        <v>344</v>
      </c>
      <c r="T205" s="10"/>
      <c r="U205" s="43" t="s">
        <v>345</v>
      </c>
      <c r="V205" s="43"/>
      <c r="W205" s="43"/>
      <c r="X205" s="44" t="s">
        <v>346</v>
      </c>
      <c r="Y205" s="44"/>
      <c r="Z205" s="22"/>
    </row>
    <row r="206" spans="1:26" ht="13.05" customHeight="1" x14ac:dyDescent="0.3">
      <c r="A206" s="11" t="s">
        <v>429</v>
      </c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4"/>
      <c r="M206" s="60">
        <v>114.66</v>
      </c>
      <c r="N206" s="60"/>
      <c r="O206" s="60"/>
      <c r="P206" s="60"/>
      <c r="Q206" s="14"/>
      <c r="R206" s="30">
        <v>114.66</v>
      </c>
      <c r="S206" s="14"/>
      <c r="T206" s="30">
        <v>0</v>
      </c>
      <c r="U206" s="14"/>
      <c r="V206" s="29">
        <v>0</v>
      </c>
      <c r="W206" s="29"/>
      <c r="X206" s="14"/>
      <c r="Y206" s="14"/>
      <c r="Z206" s="14"/>
    </row>
    <row r="207" spans="1:26" ht="12" customHeight="1" x14ac:dyDescent="0.3">
      <c r="A207" s="11" t="s">
        <v>430</v>
      </c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4"/>
      <c r="M207" s="61">
        <v>114.66</v>
      </c>
      <c r="N207" s="61"/>
      <c r="O207" s="61"/>
      <c r="P207" s="61"/>
      <c r="Q207" s="14"/>
      <c r="R207" s="35">
        <v>114.66</v>
      </c>
      <c r="S207" s="14"/>
      <c r="T207" s="35">
        <v>0</v>
      </c>
      <c r="U207" s="14"/>
      <c r="V207" s="34">
        <v>0</v>
      </c>
      <c r="W207" s="34"/>
      <c r="X207" s="14"/>
      <c r="Y207" s="14"/>
      <c r="Z207" s="14"/>
    </row>
    <row r="208" spans="1:26" ht="13.95" customHeight="1" x14ac:dyDescent="0.3">
      <c r="A208" s="11" t="s">
        <v>431</v>
      </c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4"/>
      <c r="M208" s="62">
        <v>387.5</v>
      </c>
      <c r="N208" s="62"/>
      <c r="O208" s="62"/>
      <c r="P208" s="62"/>
      <c r="Q208" s="14"/>
      <c r="R208" s="37">
        <v>387.5</v>
      </c>
      <c r="S208" s="14"/>
      <c r="T208" s="37">
        <v>0</v>
      </c>
      <c r="U208" s="14"/>
      <c r="V208" s="36">
        <v>0</v>
      </c>
      <c r="W208" s="36"/>
      <c r="X208" s="14"/>
      <c r="Y208" s="14"/>
      <c r="Z208" s="14"/>
    </row>
    <row r="209" spans="1:26" ht="18" customHeight="1" x14ac:dyDescent="0.3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22"/>
      <c r="M209" s="60">
        <v>616.82000000000005</v>
      </c>
      <c r="N209" s="60"/>
      <c r="O209" s="60"/>
      <c r="P209" s="60"/>
      <c r="Q209" s="22"/>
      <c r="R209" s="30">
        <v>616.82000000000005</v>
      </c>
      <c r="S209" s="22"/>
      <c r="T209" s="30">
        <v>0</v>
      </c>
      <c r="U209" s="22"/>
      <c r="V209" s="29">
        <v>0</v>
      </c>
      <c r="W209" s="29"/>
      <c r="X209" s="22"/>
      <c r="Y209" s="22"/>
      <c r="Z209" s="22"/>
    </row>
    <row r="210" spans="1:26" ht="12" customHeight="1" x14ac:dyDescent="0.3">
      <c r="A210" s="40" t="s">
        <v>432</v>
      </c>
      <c r="B210" s="40"/>
      <c r="C210" s="40"/>
      <c r="D210" s="40"/>
      <c r="E210" s="40"/>
      <c r="F210" s="40"/>
      <c r="G210" s="40"/>
      <c r="H210" s="40"/>
      <c r="I210" s="40"/>
      <c r="J210" s="40"/>
      <c r="K210" s="40"/>
      <c r="L210" s="50"/>
      <c r="M210" s="41"/>
      <c r="N210" s="41"/>
      <c r="O210" s="41"/>
      <c r="P210" s="41"/>
      <c r="Q210" s="50"/>
      <c r="R210" s="50"/>
      <c r="S210" s="50"/>
      <c r="T210" s="50"/>
      <c r="U210" s="50"/>
      <c r="V210" s="41"/>
      <c r="W210" s="41"/>
      <c r="X210" s="50"/>
      <c r="Y210" s="50"/>
      <c r="Z210" s="14"/>
    </row>
    <row r="211" spans="1:26" ht="25.05" customHeight="1" x14ac:dyDescent="0.3">
      <c r="A211" s="74" t="s">
        <v>365</v>
      </c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22"/>
      <c r="M211" s="24" t="s">
        <v>342</v>
      </c>
      <c r="N211" s="24"/>
      <c r="O211" s="24"/>
      <c r="P211" s="24"/>
      <c r="Q211" s="22"/>
      <c r="R211" s="25" t="s">
        <v>343</v>
      </c>
      <c r="S211" s="22"/>
      <c r="T211" s="25" t="s">
        <v>344</v>
      </c>
      <c r="U211" s="22"/>
      <c r="V211" s="24" t="s">
        <v>345</v>
      </c>
      <c r="W211" s="24"/>
      <c r="X211" s="22"/>
      <c r="Y211" s="52" t="s">
        <v>346</v>
      </c>
      <c r="Z211" s="22"/>
    </row>
    <row r="212" spans="1:26" ht="16.05" customHeight="1" x14ac:dyDescent="0.3">
      <c r="A212" s="11" t="s">
        <v>433</v>
      </c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4"/>
      <c r="M212" s="72">
        <v>13376.71</v>
      </c>
      <c r="N212" s="72"/>
      <c r="O212" s="72"/>
      <c r="P212" s="72"/>
      <c r="Q212" s="14"/>
      <c r="R212" s="46">
        <v>13376.71</v>
      </c>
      <c r="S212" s="14"/>
      <c r="T212" s="47">
        <v>0</v>
      </c>
      <c r="U212" s="14"/>
      <c r="V212" s="48">
        <v>0</v>
      </c>
      <c r="W212" s="48"/>
      <c r="X212" s="14"/>
      <c r="Y212" s="14"/>
      <c r="Z212" s="14"/>
    </row>
    <row r="213" spans="1:26" ht="11.25" customHeight="1" x14ac:dyDescent="0.3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4"/>
      <c r="M213" s="73">
        <v>13376.71</v>
      </c>
      <c r="N213" s="73"/>
      <c r="O213" s="73"/>
      <c r="P213" s="73"/>
      <c r="Q213" s="14"/>
      <c r="R213" s="39">
        <v>13376.71</v>
      </c>
      <c r="S213" s="14"/>
      <c r="T213" s="30">
        <v>0</v>
      </c>
      <c r="U213" s="14"/>
      <c r="V213" s="29">
        <v>0</v>
      </c>
      <c r="W213" s="29"/>
      <c r="X213" s="14"/>
      <c r="Y213" s="14"/>
      <c r="Z213" s="14"/>
    </row>
    <row r="214" spans="1:26" ht="11.25" customHeight="1" x14ac:dyDescent="0.3">
      <c r="A214" s="14"/>
      <c r="B214" s="20" t="s">
        <v>434</v>
      </c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</row>
    <row r="215" spans="1:26" ht="6" customHeight="1" x14ac:dyDescent="0.3">
      <c r="A215" s="14"/>
      <c r="B215" s="14"/>
      <c r="C215" s="18"/>
      <c r="D215" s="18"/>
      <c r="E215" s="18"/>
      <c r="F215" s="18"/>
      <c r="G215" s="18"/>
      <c r="H215" s="14"/>
      <c r="I215" s="14"/>
      <c r="J215" s="18"/>
      <c r="K215" s="18"/>
      <c r="L215" s="14"/>
      <c r="M215" s="18"/>
      <c r="N215" s="18"/>
      <c r="O215" s="18"/>
      <c r="P215" s="18"/>
      <c r="Q215" s="14"/>
      <c r="R215" s="14"/>
      <c r="S215" s="14"/>
      <c r="T215" s="14"/>
      <c r="U215" s="14"/>
      <c r="V215" s="18"/>
      <c r="W215" s="18"/>
      <c r="X215" s="14"/>
      <c r="Y215" s="14"/>
      <c r="Z215" s="14"/>
    </row>
    <row r="216" spans="1:26" ht="35.549999999999997" customHeight="1" x14ac:dyDescent="0.3">
      <c r="A216" s="63" t="s">
        <v>435</v>
      </c>
      <c r="B216" s="63"/>
      <c r="C216" s="63"/>
      <c r="D216" s="63"/>
      <c r="E216" s="63"/>
      <c r="F216" s="63"/>
      <c r="G216" s="63"/>
      <c r="H216" s="64"/>
      <c r="I216" s="63" t="s">
        <v>356</v>
      </c>
      <c r="J216" s="63"/>
      <c r="K216" s="63"/>
      <c r="L216" s="64"/>
      <c r="M216" s="65" t="s">
        <v>436</v>
      </c>
      <c r="N216" s="65"/>
      <c r="O216" s="65"/>
      <c r="P216" s="65"/>
      <c r="Q216" s="64"/>
      <c r="R216" s="66" t="s">
        <v>437</v>
      </c>
      <c r="S216" s="64"/>
      <c r="T216" s="66" t="s">
        <v>359</v>
      </c>
      <c r="U216" s="64"/>
      <c r="V216" s="65" t="s">
        <v>360</v>
      </c>
      <c r="W216" s="65"/>
      <c r="X216" s="64"/>
      <c r="Y216" s="67" t="s">
        <v>346</v>
      </c>
      <c r="Z216" s="64"/>
    </row>
    <row r="217" spans="1:26" ht="18" customHeight="1" x14ac:dyDescent="0.3">
      <c r="A217" s="38"/>
      <c r="B217" s="38"/>
      <c r="C217" s="38"/>
      <c r="D217" s="38"/>
      <c r="E217" s="38"/>
      <c r="F217" s="38"/>
      <c r="G217" s="38"/>
      <c r="H217" s="22"/>
      <c r="I217" s="38"/>
      <c r="J217" s="38"/>
      <c r="K217" s="38"/>
      <c r="L217" s="22"/>
      <c r="M217" s="77">
        <v>7643.84</v>
      </c>
      <c r="N217" s="77"/>
      <c r="O217" s="77"/>
      <c r="P217" s="77"/>
      <c r="Q217" s="22"/>
      <c r="R217" s="39">
        <v>7643.84</v>
      </c>
      <c r="S217" s="22"/>
      <c r="T217" s="30">
        <v>0</v>
      </c>
      <c r="U217" s="22"/>
      <c r="V217" s="29">
        <v>0</v>
      </c>
      <c r="W217" s="29"/>
      <c r="X217" s="22"/>
      <c r="Y217" s="22"/>
      <c r="Z217" s="22"/>
    </row>
    <row r="218" spans="1:26" ht="11.25" customHeight="1" x14ac:dyDescent="0.3">
      <c r="A218" s="40" t="s">
        <v>438</v>
      </c>
      <c r="B218" s="40"/>
      <c r="C218" s="40"/>
      <c r="D218" s="40"/>
      <c r="E218" s="40"/>
      <c r="F218" s="40"/>
      <c r="G218" s="40"/>
      <c r="H218" s="40"/>
      <c r="I218" s="40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14"/>
    </row>
    <row r="219" spans="1:26" ht="25.95" customHeight="1" x14ac:dyDescent="0.3">
      <c r="A219" s="38"/>
      <c r="B219" s="38"/>
      <c r="C219" s="10" t="s">
        <v>340</v>
      </c>
      <c r="D219" s="10"/>
      <c r="E219" s="10"/>
      <c r="F219" s="10"/>
      <c r="G219" s="10"/>
      <c r="H219" s="10"/>
      <c r="I219" s="10"/>
      <c r="J219" s="42" t="s">
        <v>341</v>
      </c>
      <c r="K219" s="42"/>
      <c r="L219" s="43" t="s">
        <v>342</v>
      </c>
      <c r="M219" s="43"/>
      <c r="N219" s="43"/>
      <c r="O219" s="43"/>
      <c r="P219" s="43"/>
      <c r="Q219" s="43" t="s">
        <v>343</v>
      </c>
      <c r="R219" s="43"/>
      <c r="S219" s="10" t="s">
        <v>344</v>
      </c>
      <c r="T219" s="10"/>
      <c r="U219" s="43" t="s">
        <v>345</v>
      </c>
      <c r="V219" s="43"/>
      <c r="W219" s="43"/>
      <c r="X219" s="44" t="s">
        <v>346</v>
      </c>
      <c r="Y219" s="44"/>
      <c r="Z219" s="22"/>
    </row>
    <row r="220" spans="1:26" ht="13.05" customHeight="1" x14ac:dyDescent="0.3">
      <c r="A220" s="11" t="s">
        <v>439</v>
      </c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4"/>
      <c r="M220" s="77">
        <v>2465.75</v>
      </c>
      <c r="N220" s="77"/>
      <c r="O220" s="77"/>
      <c r="P220" s="77"/>
      <c r="Q220" s="14"/>
      <c r="R220" s="39">
        <v>2465.75</v>
      </c>
      <c r="S220" s="14"/>
      <c r="T220" s="30">
        <v>0</v>
      </c>
      <c r="U220" s="14"/>
      <c r="V220" s="29">
        <v>0</v>
      </c>
      <c r="W220" s="29"/>
      <c r="X220" s="14"/>
      <c r="Y220" s="14"/>
      <c r="Z220" s="14"/>
    </row>
    <row r="221" spans="1:26" ht="15" customHeight="1" x14ac:dyDescent="0.3">
      <c r="A221" s="11" t="s">
        <v>440</v>
      </c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4"/>
      <c r="M221" s="83">
        <v>2465.75</v>
      </c>
      <c r="N221" s="83"/>
      <c r="O221" s="83"/>
      <c r="P221" s="83"/>
      <c r="Q221" s="14"/>
      <c r="R221" s="54">
        <v>2465.75</v>
      </c>
      <c r="S221" s="14"/>
      <c r="T221" s="37">
        <v>0</v>
      </c>
      <c r="U221" s="14"/>
      <c r="V221" s="36">
        <v>0</v>
      </c>
      <c r="W221" s="36"/>
      <c r="X221" s="14"/>
      <c r="Y221" s="14"/>
      <c r="Z221" s="14"/>
    </row>
    <row r="222" spans="1:26" ht="18" customHeight="1" x14ac:dyDescent="0.3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22"/>
      <c r="M222" s="77">
        <v>4931.5</v>
      </c>
      <c r="N222" s="77"/>
      <c r="O222" s="77"/>
      <c r="P222" s="77"/>
      <c r="Q222" s="22"/>
      <c r="R222" s="39">
        <v>4931.5</v>
      </c>
      <c r="S222" s="22"/>
      <c r="T222" s="30">
        <v>0</v>
      </c>
      <c r="U222" s="22"/>
      <c r="V222" s="29">
        <v>0</v>
      </c>
      <c r="W222" s="29"/>
      <c r="X222" s="22"/>
      <c r="Y222" s="22"/>
      <c r="Z222" s="22"/>
    </row>
    <row r="223" spans="1:26" ht="11.25" customHeight="1" x14ac:dyDescent="0.3">
      <c r="A223" s="40" t="s">
        <v>441</v>
      </c>
      <c r="B223" s="40"/>
      <c r="C223" s="40"/>
      <c r="D223" s="40"/>
      <c r="E223" s="40"/>
      <c r="F223" s="40"/>
      <c r="G223" s="40"/>
      <c r="H223" s="40"/>
      <c r="I223" s="40"/>
      <c r="J223" s="40"/>
      <c r="K223" s="40"/>
      <c r="L223" s="50"/>
      <c r="M223" s="41"/>
      <c r="N223" s="41"/>
      <c r="O223" s="41"/>
      <c r="P223" s="41"/>
      <c r="Q223" s="50"/>
      <c r="R223" s="50"/>
      <c r="S223" s="50"/>
      <c r="T223" s="50"/>
      <c r="U223" s="50"/>
      <c r="V223" s="41"/>
      <c r="W223" s="41"/>
      <c r="X223" s="50"/>
      <c r="Y223" s="50"/>
      <c r="Z223" s="14"/>
    </row>
    <row r="224" spans="1:26" ht="25.05" customHeight="1" x14ac:dyDescent="0.3">
      <c r="A224" s="74" t="s">
        <v>365</v>
      </c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22"/>
      <c r="M224" s="24" t="s">
        <v>342</v>
      </c>
      <c r="N224" s="24"/>
      <c r="O224" s="24"/>
      <c r="P224" s="24"/>
      <c r="Q224" s="22"/>
      <c r="R224" s="25" t="s">
        <v>343</v>
      </c>
      <c r="S224" s="22"/>
      <c r="T224" s="25" t="s">
        <v>344</v>
      </c>
      <c r="U224" s="22"/>
      <c r="V224" s="24" t="s">
        <v>345</v>
      </c>
      <c r="W224" s="24"/>
      <c r="X224" s="22"/>
      <c r="Y224" s="52" t="s">
        <v>346</v>
      </c>
      <c r="Z224" s="22"/>
    </row>
    <row r="225" spans="1:26" ht="16.05" customHeight="1" x14ac:dyDescent="0.3">
      <c r="A225" s="11" t="s">
        <v>442</v>
      </c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4"/>
      <c r="M225" s="76">
        <v>3287.67</v>
      </c>
      <c r="N225" s="76"/>
      <c r="O225" s="76"/>
      <c r="P225" s="76"/>
      <c r="Q225" s="14"/>
      <c r="R225" s="46">
        <v>3287.67</v>
      </c>
      <c r="S225" s="14"/>
      <c r="T225" s="47">
        <v>0</v>
      </c>
      <c r="U225" s="14"/>
      <c r="V225" s="48">
        <v>0</v>
      </c>
      <c r="W225" s="48"/>
      <c r="X225" s="14"/>
      <c r="Y225" s="14"/>
      <c r="Z225" s="14"/>
    </row>
    <row r="226" spans="1:26" ht="18" customHeight="1" x14ac:dyDescent="0.3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22"/>
      <c r="M226" s="77">
        <v>3287.67</v>
      </c>
      <c r="N226" s="77"/>
      <c r="O226" s="77"/>
      <c r="P226" s="77"/>
      <c r="Q226" s="22"/>
      <c r="R226" s="39">
        <v>3287.67</v>
      </c>
      <c r="S226" s="22"/>
      <c r="T226" s="30">
        <v>0</v>
      </c>
      <c r="U226" s="22"/>
      <c r="V226" s="29">
        <v>0</v>
      </c>
      <c r="W226" s="29"/>
      <c r="X226" s="22"/>
      <c r="Y226" s="22"/>
      <c r="Z226" s="22"/>
    </row>
    <row r="227" spans="1:26" ht="11.25" customHeight="1" x14ac:dyDescent="0.3">
      <c r="A227" s="40" t="s">
        <v>443</v>
      </c>
      <c r="B227" s="40"/>
      <c r="C227" s="40"/>
      <c r="D227" s="40"/>
      <c r="E227" s="40"/>
      <c r="F227" s="40"/>
      <c r="G227" s="40"/>
      <c r="H227" s="40"/>
      <c r="I227" s="40"/>
      <c r="J227" s="40"/>
      <c r="K227" s="40"/>
      <c r="L227" s="50"/>
      <c r="M227" s="41"/>
      <c r="N227" s="41"/>
      <c r="O227" s="41"/>
      <c r="P227" s="41"/>
      <c r="Q227" s="50"/>
      <c r="R227" s="50"/>
      <c r="S227" s="50"/>
      <c r="T227" s="50"/>
      <c r="U227" s="50"/>
      <c r="V227" s="41"/>
      <c r="W227" s="41"/>
      <c r="X227" s="50"/>
      <c r="Y227" s="50"/>
      <c r="Z227" s="14"/>
    </row>
    <row r="228" spans="1:26" ht="25.95" customHeight="1" x14ac:dyDescent="0.3">
      <c r="A228" s="74" t="s">
        <v>365</v>
      </c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22"/>
      <c r="M228" s="24" t="s">
        <v>342</v>
      </c>
      <c r="N228" s="24"/>
      <c r="O228" s="24"/>
      <c r="P228" s="24"/>
      <c r="Q228" s="22"/>
      <c r="R228" s="25" t="s">
        <v>343</v>
      </c>
      <c r="S228" s="22"/>
      <c r="T228" s="25" t="s">
        <v>344</v>
      </c>
      <c r="U228" s="22"/>
      <c r="V228" s="24" t="s">
        <v>345</v>
      </c>
      <c r="W228" s="24"/>
      <c r="X228" s="22"/>
      <c r="Y228" s="52" t="s">
        <v>346</v>
      </c>
      <c r="Z228" s="22"/>
    </row>
    <row r="229" spans="1:26" ht="16.05" customHeight="1" x14ac:dyDescent="0.3">
      <c r="A229" s="11" t="s">
        <v>444</v>
      </c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4"/>
      <c r="M229" s="48">
        <v>0</v>
      </c>
      <c r="N229" s="48"/>
      <c r="O229" s="48"/>
      <c r="P229" s="48"/>
      <c r="Q229" s="14"/>
      <c r="R229" s="47">
        <v>181.6</v>
      </c>
      <c r="S229" s="14"/>
      <c r="T229" s="47">
        <v>-181.6</v>
      </c>
      <c r="U229" s="14"/>
      <c r="V229" s="48">
        <v>0</v>
      </c>
      <c r="W229" s="48"/>
      <c r="X229" s="14"/>
      <c r="Y229" s="14"/>
      <c r="Z229" s="14"/>
    </row>
    <row r="230" spans="1:26" ht="18" customHeight="1" x14ac:dyDescent="0.3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22"/>
      <c r="M230" s="29">
        <v>0</v>
      </c>
      <c r="N230" s="29"/>
      <c r="O230" s="29"/>
      <c r="P230" s="29"/>
      <c r="Q230" s="22"/>
      <c r="R230" s="30">
        <v>181.6</v>
      </c>
      <c r="S230" s="22"/>
      <c r="T230" s="30">
        <v>-181.6</v>
      </c>
      <c r="U230" s="22"/>
      <c r="V230" s="29">
        <v>0</v>
      </c>
      <c r="W230" s="29"/>
      <c r="X230" s="22"/>
      <c r="Y230" s="22"/>
      <c r="Z230" s="22"/>
    </row>
    <row r="231" spans="1:26" ht="11.25" customHeight="1" x14ac:dyDescent="0.3">
      <c r="A231" s="40" t="s">
        <v>445</v>
      </c>
      <c r="B231" s="40"/>
      <c r="C231" s="40"/>
      <c r="D231" s="40"/>
      <c r="E231" s="40"/>
      <c r="F231" s="40"/>
      <c r="G231" s="40"/>
      <c r="H231" s="40"/>
      <c r="I231" s="40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14"/>
    </row>
    <row r="232" spans="1:26" ht="25.95" customHeight="1" x14ac:dyDescent="0.3">
      <c r="A232" s="38"/>
      <c r="B232" s="38"/>
      <c r="C232" s="10" t="s">
        <v>340</v>
      </c>
      <c r="D232" s="10"/>
      <c r="E232" s="10"/>
      <c r="F232" s="10"/>
      <c r="G232" s="10"/>
      <c r="H232" s="10"/>
      <c r="I232" s="10"/>
      <c r="J232" s="42" t="s">
        <v>341</v>
      </c>
      <c r="K232" s="42"/>
      <c r="L232" s="43" t="s">
        <v>342</v>
      </c>
      <c r="M232" s="43"/>
      <c r="N232" s="43"/>
      <c r="O232" s="43"/>
      <c r="P232" s="43"/>
      <c r="Q232" s="43" t="s">
        <v>343</v>
      </c>
      <c r="R232" s="43"/>
      <c r="S232" s="10" t="s">
        <v>344</v>
      </c>
      <c r="T232" s="10"/>
      <c r="U232" s="43" t="s">
        <v>345</v>
      </c>
      <c r="V232" s="43"/>
      <c r="W232" s="43"/>
      <c r="X232" s="44" t="s">
        <v>346</v>
      </c>
      <c r="Y232" s="44"/>
      <c r="Z232" s="22"/>
    </row>
    <row r="233" spans="1:26" ht="13.05" customHeight="1" x14ac:dyDescent="0.3">
      <c r="A233" s="11" t="s">
        <v>446</v>
      </c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4"/>
      <c r="M233" s="77">
        <v>12698.63</v>
      </c>
      <c r="N233" s="77"/>
      <c r="O233" s="77"/>
      <c r="P233" s="77"/>
      <c r="Q233" s="14"/>
      <c r="R233" s="39">
        <v>12698.63</v>
      </c>
      <c r="S233" s="14"/>
      <c r="T233" s="30">
        <v>0</v>
      </c>
      <c r="U233" s="14"/>
      <c r="V233" s="29">
        <v>0</v>
      </c>
      <c r="W233" s="29"/>
      <c r="X233" s="14"/>
      <c r="Y233" s="14"/>
      <c r="Z233" s="14"/>
    </row>
    <row r="234" spans="1:26" ht="12" customHeight="1" x14ac:dyDescent="0.3">
      <c r="A234" s="11" t="s">
        <v>447</v>
      </c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4"/>
      <c r="M234" s="80">
        <v>6772.6</v>
      </c>
      <c r="N234" s="80"/>
      <c r="O234" s="80"/>
      <c r="P234" s="80"/>
      <c r="Q234" s="14"/>
      <c r="R234" s="57">
        <v>6772.6</v>
      </c>
      <c r="S234" s="14"/>
      <c r="T234" s="35">
        <v>0</v>
      </c>
      <c r="U234" s="14"/>
      <c r="V234" s="34">
        <v>0</v>
      </c>
      <c r="W234" s="34"/>
      <c r="X234" s="14"/>
      <c r="Y234" s="14"/>
      <c r="Z234" s="14"/>
    </row>
    <row r="235" spans="1:26" ht="13.95" customHeight="1" x14ac:dyDescent="0.3">
      <c r="A235" s="11" t="s">
        <v>448</v>
      </c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4"/>
      <c r="M235" s="83">
        <v>16931.509999999998</v>
      </c>
      <c r="N235" s="83"/>
      <c r="O235" s="83"/>
      <c r="P235" s="83"/>
      <c r="Q235" s="14"/>
      <c r="R235" s="54">
        <v>16931.509999999998</v>
      </c>
      <c r="S235" s="14"/>
      <c r="T235" s="37">
        <v>0</v>
      </c>
      <c r="U235" s="14"/>
      <c r="V235" s="36">
        <v>0</v>
      </c>
      <c r="W235" s="36"/>
      <c r="X235" s="14"/>
      <c r="Y235" s="14"/>
      <c r="Z235" s="14"/>
    </row>
    <row r="236" spans="1:26" ht="18" customHeight="1" x14ac:dyDescent="0.3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22"/>
      <c r="M236" s="77">
        <v>36402.74</v>
      </c>
      <c r="N236" s="77"/>
      <c r="O236" s="77"/>
      <c r="P236" s="77"/>
      <c r="Q236" s="22"/>
      <c r="R236" s="39">
        <v>36402.74</v>
      </c>
      <c r="S236" s="22"/>
      <c r="T236" s="30">
        <v>0</v>
      </c>
      <c r="U236" s="22"/>
      <c r="V236" s="29">
        <v>0</v>
      </c>
      <c r="W236" s="29"/>
      <c r="X236" s="22"/>
      <c r="Y236" s="22"/>
      <c r="Z236" s="22"/>
    </row>
    <row r="237" spans="1:26" ht="11.25" customHeight="1" x14ac:dyDescent="0.3">
      <c r="A237" s="40" t="s">
        <v>449</v>
      </c>
      <c r="B237" s="40"/>
      <c r="C237" s="40"/>
      <c r="D237" s="40"/>
      <c r="E237" s="40"/>
      <c r="F237" s="40"/>
      <c r="G237" s="40"/>
      <c r="H237" s="40"/>
      <c r="I237" s="40"/>
      <c r="J237" s="40"/>
      <c r="K237" s="40"/>
      <c r="L237" s="50"/>
      <c r="M237" s="41"/>
      <c r="N237" s="41"/>
      <c r="O237" s="41"/>
      <c r="P237" s="41"/>
      <c r="Q237" s="50"/>
      <c r="R237" s="50"/>
      <c r="S237" s="50"/>
      <c r="T237" s="50"/>
      <c r="U237" s="50"/>
      <c r="V237" s="41"/>
      <c r="W237" s="41"/>
      <c r="X237" s="50"/>
      <c r="Y237" s="50"/>
      <c r="Z237" s="14"/>
    </row>
    <row r="238" spans="1:26" ht="25.95" customHeight="1" x14ac:dyDescent="0.3">
      <c r="A238" s="74" t="s">
        <v>365</v>
      </c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22"/>
      <c r="M238" s="24" t="s">
        <v>342</v>
      </c>
      <c r="N238" s="24"/>
      <c r="O238" s="24"/>
      <c r="P238" s="24"/>
      <c r="Q238" s="22"/>
      <c r="R238" s="25" t="s">
        <v>343</v>
      </c>
      <c r="S238" s="22"/>
      <c r="T238" s="25" t="s">
        <v>344</v>
      </c>
      <c r="U238" s="22"/>
      <c r="V238" s="24" t="s">
        <v>345</v>
      </c>
      <c r="W238" s="24"/>
      <c r="X238" s="22"/>
      <c r="Y238" s="52" t="s">
        <v>346</v>
      </c>
      <c r="Z238" s="22"/>
    </row>
    <row r="239" spans="1:26" ht="16.05" customHeight="1" x14ac:dyDescent="0.3">
      <c r="A239" s="11" t="s">
        <v>450</v>
      </c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4"/>
      <c r="M239" s="76">
        <v>5079.45</v>
      </c>
      <c r="N239" s="76"/>
      <c r="O239" s="76"/>
      <c r="P239" s="76"/>
      <c r="Q239" s="14"/>
      <c r="R239" s="46">
        <v>5079.45</v>
      </c>
      <c r="S239" s="14"/>
      <c r="T239" s="47">
        <v>0</v>
      </c>
      <c r="U239" s="14"/>
      <c r="V239" s="48">
        <v>0</v>
      </c>
      <c r="W239" s="48"/>
      <c r="X239" s="14"/>
      <c r="Y239" s="14"/>
      <c r="Z239" s="14"/>
    </row>
    <row r="240" spans="1:26" ht="18" customHeight="1" x14ac:dyDescent="0.3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22"/>
      <c r="M240" s="77">
        <v>5079.45</v>
      </c>
      <c r="N240" s="77"/>
      <c r="O240" s="77"/>
      <c r="P240" s="77"/>
      <c r="Q240" s="22"/>
      <c r="R240" s="39">
        <v>5079.45</v>
      </c>
      <c r="S240" s="22"/>
      <c r="T240" s="30">
        <v>0</v>
      </c>
      <c r="U240" s="22"/>
      <c r="V240" s="29">
        <v>0</v>
      </c>
      <c r="W240" s="29"/>
      <c r="X240" s="22"/>
      <c r="Y240" s="22"/>
      <c r="Z240" s="22"/>
    </row>
    <row r="241" spans="1:26" ht="11.25" customHeight="1" x14ac:dyDescent="0.3">
      <c r="A241" s="40" t="s">
        <v>451</v>
      </c>
      <c r="B241" s="40"/>
      <c r="C241" s="40"/>
      <c r="D241" s="40"/>
      <c r="E241" s="40"/>
      <c r="F241" s="40"/>
      <c r="G241" s="40"/>
      <c r="H241" s="40"/>
      <c r="I241" s="40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14"/>
    </row>
    <row r="242" spans="1:26" ht="25.95" customHeight="1" x14ac:dyDescent="0.3">
      <c r="A242" s="38"/>
      <c r="B242" s="38"/>
      <c r="C242" s="10" t="s">
        <v>340</v>
      </c>
      <c r="D242" s="10"/>
      <c r="E242" s="10"/>
      <c r="F242" s="10"/>
      <c r="G242" s="10"/>
      <c r="H242" s="10"/>
      <c r="I242" s="10"/>
      <c r="J242" s="42" t="s">
        <v>341</v>
      </c>
      <c r="K242" s="42"/>
      <c r="L242" s="43" t="s">
        <v>342</v>
      </c>
      <c r="M242" s="43"/>
      <c r="N242" s="43"/>
      <c r="O242" s="43"/>
      <c r="P242" s="43"/>
      <c r="Q242" s="43" t="s">
        <v>343</v>
      </c>
      <c r="R242" s="43"/>
      <c r="S242" s="10" t="s">
        <v>344</v>
      </c>
      <c r="T242" s="10"/>
      <c r="U242" s="43" t="s">
        <v>345</v>
      </c>
      <c r="V242" s="43"/>
      <c r="W242" s="43"/>
      <c r="X242" s="44" t="s">
        <v>346</v>
      </c>
      <c r="Y242" s="44"/>
      <c r="Z242" s="22"/>
    </row>
    <row r="243" spans="1:26" ht="13.05" customHeight="1" x14ac:dyDescent="0.3">
      <c r="A243" s="11" t="s">
        <v>452</v>
      </c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4"/>
      <c r="M243" s="29">
        <v>0</v>
      </c>
      <c r="N243" s="29"/>
      <c r="O243" s="29"/>
      <c r="P243" s="29"/>
      <c r="Q243" s="14"/>
      <c r="R243" s="39">
        <v>3250.84</v>
      </c>
      <c r="S243" s="14"/>
      <c r="T243" s="39">
        <v>-3250.84</v>
      </c>
      <c r="U243" s="14"/>
      <c r="V243" s="29">
        <v>0</v>
      </c>
      <c r="W243" s="29"/>
      <c r="X243" s="14"/>
      <c r="Y243" s="14"/>
      <c r="Z243" s="14"/>
    </row>
    <row r="244" spans="1:26" ht="13.95" customHeight="1" x14ac:dyDescent="0.3">
      <c r="A244" s="11" t="s">
        <v>453</v>
      </c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4"/>
      <c r="M244" s="83">
        <v>1972.6</v>
      </c>
      <c r="N244" s="83"/>
      <c r="O244" s="83"/>
      <c r="P244" s="83"/>
      <c r="Q244" s="14"/>
      <c r="R244" s="54">
        <v>1972.6</v>
      </c>
      <c r="S244" s="14"/>
      <c r="T244" s="37">
        <v>0</v>
      </c>
      <c r="U244" s="14"/>
      <c r="V244" s="36">
        <v>0</v>
      </c>
      <c r="W244" s="36"/>
      <c r="X244" s="14"/>
      <c r="Y244" s="14"/>
      <c r="Z244" s="14"/>
    </row>
    <row r="245" spans="1:26" ht="18" customHeight="1" x14ac:dyDescent="0.3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22"/>
      <c r="M245" s="77">
        <v>1972.6</v>
      </c>
      <c r="N245" s="77"/>
      <c r="O245" s="77"/>
      <c r="P245" s="77"/>
      <c r="Q245" s="22"/>
      <c r="R245" s="39">
        <v>5223.4399999999996</v>
      </c>
      <c r="S245" s="22"/>
      <c r="T245" s="39">
        <v>-3250.84</v>
      </c>
      <c r="U245" s="22"/>
      <c r="V245" s="29">
        <v>0</v>
      </c>
      <c r="W245" s="29"/>
      <c r="X245" s="22"/>
      <c r="Y245" s="22"/>
      <c r="Z245" s="22"/>
    </row>
    <row r="246" spans="1:26" ht="11.25" customHeight="1" x14ac:dyDescent="0.3">
      <c r="A246" s="40" t="s">
        <v>454</v>
      </c>
      <c r="B246" s="40"/>
      <c r="C246" s="40"/>
      <c r="D246" s="40"/>
      <c r="E246" s="40"/>
      <c r="F246" s="40"/>
      <c r="G246" s="40"/>
      <c r="H246" s="40"/>
      <c r="I246" s="40"/>
      <c r="J246" s="40"/>
      <c r="K246" s="40"/>
      <c r="L246" s="50"/>
      <c r="M246" s="41"/>
      <c r="N246" s="41"/>
      <c r="O246" s="41"/>
      <c r="P246" s="41"/>
      <c r="Q246" s="50"/>
      <c r="R246" s="50"/>
      <c r="S246" s="50"/>
      <c r="T246" s="50"/>
      <c r="U246" s="50"/>
      <c r="V246" s="41"/>
      <c r="W246" s="41"/>
      <c r="X246" s="50"/>
      <c r="Y246" s="50"/>
      <c r="Z246" s="14"/>
    </row>
    <row r="247" spans="1:26" ht="25.95" customHeight="1" x14ac:dyDescent="0.3">
      <c r="A247" s="74" t="s">
        <v>365</v>
      </c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22"/>
      <c r="M247" s="24" t="s">
        <v>342</v>
      </c>
      <c r="N247" s="24"/>
      <c r="O247" s="24"/>
      <c r="P247" s="24"/>
      <c r="Q247" s="22"/>
      <c r="R247" s="25" t="s">
        <v>343</v>
      </c>
      <c r="S247" s="22"/>
      <c r="T247" s="25" t="s">
        <v>344</v>
      </c>
      <c r="U247" s="22"/>
      <c r="V247" s="24" t="s">
        <v>345</v>
      </c>
      <c r="W247" s="24"/>
      <c r="X247" s="22"/>
      <c r="Y247" s="52" t="s">
        <v>346</v>
      </c>
      <c r="Z247" s="22"/>
    </row>
    <row r="248" spans="1:26" ht="16.05" customHeight="1" x14ac:dyDescent="0.3">
      <c r="A248" s="11" t="s">
        <v>455</v>
      </c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4"/>
      <c r="M248" s="76">
        <v>3821.92</v>
      </c>
      <c r="N248" s="76"/>
      <c r="O248" s="76"/>
      <c r="P248" s="76"/>
      <c r="Q248" s="14"/>
      <c r="R248" s="46">
        <v>3821.92</v>
      </c>
      <c r="S248" s="14"/>
      <c r="T248" s="47">
        <v>0</v>
      </c>
      <c r="U248" s="14"/>
      <c r="V248" s="48">
        <v>0</v>
      </c>
      <c r="W248" s="48"/>
      <c r="X248" s="14"/>
      <c r="Y248" s="14"/>
      <c r="Z248" s="14"/>
    </row>
    <row r="249" spans="1:26" ht="18" customHeight="1" x14ac:dyDescent="0.3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22"/>
      <c r="M249" s="77">
        <v>3821.92</v>
      </c>
      <c r="N249" s="77"/>
      <c r="O249" s="77"/>
      <c r="P249" s="77"/>
      <c r="Q249" s="22"/>
      <c r="R249" s="39">
        <v>3821.92</v>
      </c>
      <c r="S249" s="22"/>
      <c r="T249" s="30">
        <v>0</v>
      </c>
      <c r="U249" s="22"/>
      <c r="V249" s="29">
        <v>0</v>
      </c>
      <c r="W249" s="29"/>
      <c r="X249" s="22"/>
      <c r="Y249" s="22"/>
      <c r="Z249" s="22"/>
    </row>
    <row r="250" spans="1:26" ht="11.25" customHeight="1" x14ac:dyDescent="0.3">
      <c r="A250" s="40" t="s">
        <v>456</v>
      </c>
      <c r="B250" s="40"/>
      <c r="C250" s="40"/>
      <c r="D250" s="40"/>
      <c r="E250" s="40"/>
      <c r="F250" s="40"/>
      <c r="G250" s="40"/>
      <c r="H250" s="40"/>
      <c r="I250" s="40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14"/>
    </row>
    <row r="251" spans="1:26" ht="25.95" customHeight="1" x14ac:dyDescent="0.3">
      <c r="A251" s="38"/>
      <c r="B251" s="38"/>
      <c r="C251" s="10" t="s">
        <v>340</v>
      </c>
      <c r="D251" s="10"/>
      <c r="E251" s="10"/>
      <c r="F251" s="10"/>
      <c r="G251" s="10"/>
      <c r="H251" s="10"/>
      <c r="I251" s="10"/>
      <c r="J251" s="42" t="s">
        <v>341</v>
      </c>
      <c r="K251" s="42"/>
      <c r="L251" s="43" t="s">
        <v>342</v>
      </c>
      <c r="M251" s="43"/>
      <c r="N251" s="43"/>
      <c r="O251" s="43"/>
      <c r="P251" s="43"/>
      <c r="Q251" s="43" t="s">
        <v>343</v>
      </c>
      <c r="R251" s="43"/>
      <c r="S251" s="10" t="s">
        <v>344</v>
      </c>
      <c r="T251" s="10"/>
      <c r="U251" s="43" t="s">
        <v>345</v>
      </c>
      <c r="V251" s="43"/>
      <c r="W251" s="43"/>
      <c r="X251" s="44" t="s">
        <v>346</v>
      </c>
      <c r="Y251" s="44"/>
      <c r="Z251" s="22"/>
    </row>
    <row r="252" spans="1:26" ht="15" customHeight="1" x14ac:dyDescent="0.3">
      <c r="A252" s="32">
        <v>1144</v>
      </c>
      <c r="B252" s="32"/>
      <c r="C252" s="32"/>
      <c r="D252" s="32"/>
      <c r="E252" s="32"/>
      <c r="F252" s="32"/>
      <c r="G252" s="32"/>
      <c r="H252" s="14"/>
      <c r="I252" s="28" t="s">
        <v>347</v>
      </c>
      <c r="J252" s="28"/>
      <c r="K252" s="28"/>
      <c r="L252" s="14"/>
      <c r="M252" s="76">
        <v>5810.96</v>
      </c>
      <c r="N252" s="76"/>
      <c r="O252" s="76"/>
      <c r="P252" s="76"/>
      <c r="Q252" s="14"/>
      <c r="R252" s="46">
        <v>5810.96</v>
      </c>
      <c r="S252" s="14"/>
      <c r="T252" s="47">
        <v>0</v>
      </c>
      <c r="U252" s="14"/>
      <c r="V252" s="48">
        <v>0</v>
      </c>
      <c r="W252" s="48"/>
      <c r="X252" s="14"/>
      <c r="Y252" s="31"/>
      <c r="Z252" s="14"/>
    </row>
    <row r="253" spans="1:26" ht="11.25" customHeight="1" x14ac:dyDescent="0.3">
      <c r="A253" s="18"/>
      <c r="B253" s="18"/>
      <c r="C253" s="18"/>
      <c r="D253" s="18"/>
      <c r="E253" s="18"/>
      <c r="F253" s="18"/>
      <c r="G253" s="18"/>
      <c r="H253" s="14"/>
      <c r="I253" s="18"/>
      <c r="J253" s="18"/>
      <c r="K253" s="18"/>
      <c r="L253" s="14"/>
      <c r="M253" s="77">
        <v>5810.96</v>
      </c>
      <c r="N253" s="77"/>
      <c r="O253" s="77"/>
      <c r="P253" s="77"/>
      <c r="Q253" s="14"/>
      <c r="R253" s="39">
        <v>5810.96</v>
      </c>
      <c r="S253" s="14"/>
      <c r="T253" s="30">
        <v>0</v>
      </c>
      <c r="U253" s="14"/>
      <c r="V253" s="29">
        <v>0</v>
      </c>
      <c r="W253" s="29"/>
      <c r="X253" s="14"/>
      <c r="Y253" s="14"/>
      <c r="Z253" s="14"/>
    </row>
    <row r="254" spans="1:26" ht="11.25" customHeight="1" x14ac:dyDescent="0.3">
      <c r="A254" s="14"/>
      <c r="B254" s="20" t="s">
        <v>457</v>
      </c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</row>
    <row r="255" spans="1:26" ht="6" customHeight="1" x14ac:dyDescent="0.3">
      <c r="A255" s="14"/>
      <c r="B255" s="14"/>
      <c r="C255" s="18"/>
      <c r="D255" s="18"/>
      <c r="E255" s="18"/>
      <c r="F255" s="18"/>
      <c r="G255" s="18"/>
      <c r="H255" s="14"/>
      <c r="I255" s="14"/>
      <c r="J255" s="18"/>
      <c r="K255" s="18"/>
      <c r="L255" s="14"/>
      <c r="M255" s="18"/>
      <c r="N255" s="18"/>
      <c r="O255" s="18"/>
      <c r="P255" s="18"/>
      <c r="Q255" s="14"/>
      <c r="R255" s="14"/>
      <c r="S255" s="14"/>
      <c r="T255" s="14"/>
      <c r="U255" s="14"/>
      <c r="V255" s="18"/>
      <c r="W255" s="18"/>
      <c r="X255" s="14"/>
      <c r="Y255" s="14"/>
      <c r="Z255" s="14"/>
    </row>
    <row r="256" spans="1:26" ht="35.549999999999997" customHeight="1" x14ac:dyDescent="0.3">
      <c r="A256" s="63" t="s">
        <v>458</v>
      </c>
      <c r="B256" s="63"/>
      <c r="C256" s="63"/>
      <c r="D256" s="63"/>
      <c r="E256" s="63"/>
      <c r="F256" s="63"/>
      <c r="G256" s="63"/>
      <c r="H256" s="64"/>
      <c r="I256" s="63" t="s">
        <v>356</v>
      </c>
      <c r="J256" s="63"/>
      <c r="K256" s="63"/>
      <c r="L256" s="64"/>
      <c r="M256" s="65" t="s">
        <v>459</v>
      </c>
      <c r="N256" s="65"/>
      <c r="O256" s="65"/>
      <c r="P256" s="65"/>
      <c r="Q256" s="64"/>
      <c r="R256" s="66" t="s">
        <v>460</v>
      </c>
      <c r="S256" s="64"/>
      <c r="T256" s="66" t="s">
        <v>359</v>
      </c>
      <c r="U256" s="64"/>
      <c r="V256" s="65" t="s">
        <v>360</v>
      </c>
      <c r="W256" s="65"/>
      <c r="X256" s="64"/>
      <c r="Y256" s="67" t="s">
        <v>346</v>
      </c>
      <c r="Z256" s="64"/>
    </row>
    <row r="257" spans="1:26" ht="18" customHeight="1" x14ac:dyDescent="0.3">
      <c r="A257" s="38"/>
      <c r="B257" s="38"/>
      <c r="C257" s="38"/>
      <c r="D257" s="38"/>
      <c r="E257" s="38"/>
      <c r="F257" s="38"/>
      <c r="G257" s="38"/>
      <c r="H257" s="22"/>
      <c r="I257" s="38"/>
      <c r="J257" s="38"/>
      <c r="K257" s="38"/>
      <c r="L257" s="22"/>
      <c r="M257" s="77">
        <v>6115.07</v>
      </c>
      <c r="N257" s="77"/>
      <c r="O257" s="77"/>
      <c r="P257" s="77"/>
      <c r="Q257" s="22"/>
      <c r="R257" s="39">
        <v>6115.07</v>
      </c>
      <c r="S257" s="22"/>
      <c r="T257" s="30">
        <v>0</v>
      </c>
      <c r="U257" s="22"/>
      <c r="V257" s="29">
        <v>0</v>
      </c>
      <c r="W257" s="29"/>
      <c r="X257" s="22"/>
      <c r="Y257" s="22"/>
      <c r="Z257" s="22"/>
    </row>
    <row r="258" spans="1:26" ht="11.25" customHeight="1" x14ac:dyDescent="0.3">
      <c r="A258" s="58">
        <v>1069</v>
      </c>
      <c r="B258" s="58"/>
      <c r="C258" s="68" t="s">
        <v>461</v>
      </c>
      <c r="D258" s="68"/>
      <c r="E258" s="68"/>
      <c r="F258" s="68"/>
      <c r="G258" s="68"/>
      <c r="H258" s="68"/>
      <c r="I258" s="68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14"/>
    </row>
    <row r="259" spans="1:26" ht="25.95" customHeight="1" x14ac:dyDescent="0.3">
      <c r="A259" s="38"/>
      <c r="B259" s="38"/>
      <c r="C259" s="69" t="s">
        <v>340</v>
      </c>
      <c r="D259" s="69"/>
      <c r="E259" s="69"/>
      <c r="F259" s="69"/>
      <c r="G259" s="69"/>
      <c r="H259" s="69"/>
      <c r="I259" s="69"/>
      <c r="J259" s="42" t="s">
        <v>341</v>
      </c>
      <c r="K259" s="42"/>
      <c r="L259" s="43" t="s">
        <v>342</v>
      </c>
      <c r="M259" s="43"/>
      <c r="N259" s="43"/>
      <c r="O259" s="43"/>
      <c r="P259" s="43"/>
      <c r="Q259" s="43" t="s">
        <v>343</v>
      </c>
      <c r="R259" s="43"/>
      <c r="S259" s="10" t="s">
        <v>344</v>
      </c>
      <c r="T259" s="10"/>
      <c r="U259" s="43" t="s">
        <v>345</v>
      </c>
      <c r="V259" s="43"/>
      <c r="W259" s="43"/>
      <c r="X259" s="44" t="s">
        <v>346</v>
      </c>
      <c r="Y259" s="44"/>
      <c r="Z259" s="22"/>
    </row>
    <row r="260" spans="1:26" ht="13.05" customHeight="1" x14ac:dyDescent="0.3">
      <c r="A260" s="11" t="s">
        <v>462</v>
      </c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4"/>
      <c r="M260" s="77">
        <v>2958.9</v>
      </c>
      <c r="N260" s="77"/>
      <c r="O260" s="77"/>
      <c r="P260" s="77"/>
      <c r="Q260" s="14"/>
      <c r="R260" s="39">
        <v>2958.9</v>
      </c>
      <c r="S260" s="14"/>
      <c r="T260" s="30">
        <v>0</v>
      </c>
      <c r="U260" s="14"/>
      <c r="V260" s="29">
        <v>0</v>
      </c>
      <c r="W260" s="29"/>
      <c r="X260" s="14"/>
      <c r="Y260" s="14"/>
      <c r="Z260" s="14"/>
    </row>
    <row r="261" spans="1:26" ht="15" customHeight="1" x14ac:dyDescent="0.3">
      <c r="A261" s="11" t="s">
        <v>463</v>
      </c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4"/>
      <c r="M261" s="83">
        <v>1479.45</v>
      </c>
      <c r="N261" s="83"/>
      <c r="O261" s="83"/>
      <c r="P261" s="83"/>
      <c r="Q261" s="14"/>
      <c r="R261" s="54">
        <v>1479.45</v>
      </c>
      <c r="S261" s="14"/>
      <c r="T261" s="37">
        <v>0</v>
      </c>
      <c r="U261" s="14"/>
      <c r="V261" s="36">
        <v>0</v>
      </c>
      <c r="W261" s="36"/>
      <c r="X261" s="14"/>
      <c r="Y261" s="14"/>
      <c r="Z261" s="14"/>
    </row>
    <row r="262" spans="1:26" ht="18" customHeight="1" x14ac:dyDescent="0.3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22"/>
      <c r="M262" s="77">
        <v>4438.3500000000004</v>
      </c>
      <c r="N262" s="77"/>
      <c r="O262" s="77"/>
      <c r="P262" s="77"/>
      <c r="Q262" s="22"/>
      <c r="R262" s="39">
        <v>4438.3500000000004</v>
      </c>
      <c r="S262" s="22"/>
      <c r="T262" s="30">
        <v>0</v>
      </c>
      <c r="U262" s="22"/>
      <c r="V262" s="29">
        <v>0</v>
      </c>
      <c r="W262" s="29"/>
      <c r="X262" s="22"/>
      <c r="Y262" s="22"/>
      <c r="Z262" s="22"/>
    </row>
    <row r="263" spans="1:26" ht="11.25" customHeight="1" x14ac:dyDescent="0.3">
      <c r="A263" s="40" t="s">
        <v>464</v>
      </c>
      <c r="B263" s="40"/>
      <c r="C263" s="40"/>
      <c r="D263" s="40"/>
      <c r="E263" s="40"/>
      <c r="F263" s="40"/>
      <c r="G263" s="40"/>
      <c r="H263" s="40"/>
      <c r="I263" s="40"/>
      <c r="J263" s="40"/>
      <c r="K263" s="40"/>
      <c r="L263" s="50"/>
      <c r="M263" s="41"/>
      <c r="N263" s="41"/>
      <c r="O263" s="41"/>
      <c r="P263" s="41"/>
      <c r="Q263" s="50"/>
      <c r="R263" s="50"/>
      <c r="S263" s="50"/>
      <c r="T263" s="50"/>
      <c r="U263" s="50"/>
      <c r="V263" s="41"/>
      <c r="W263" s="41"/>
      <c r="X263" s="50"/>
      <c r="Y263" s="50"/>
      <c r="Z263" s="14"/>
    </row>
    <row r="264" spans="1:26" ht="25.05" customHeight="1" x14ac:dyDescent="0.3">
      <c r="A264" s="74" t="s">
        <v>365</v>
      </c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22"/>
      <c r="M264" s="24" t="s">
        <v>342</v>
      </c>
      <c r="N264" s="24"/>
      <c r="O264" s="24"/>
      <c r="P264" s="24"/>
      <c r="Q264" s="22"/>
      <c r="R264" s="25" t="s">
        <v>343</v>
      </c>
      <c r="S264" s="22"/>
      <c r="T264" s="25" t="s">
        <v>344</v>
      </c>
      <c r="U264" s="22"/>
      <c r="V264" s="24" t="s">
        <v>345</v>
      </c>
      <c r="W264" s="24"/>
      <c r="X264" s="22"/>
      <c r="Y264" s="52" t="s">
        <v>346</v>
      </c>
      <c r="Z264" s="22"/>
    </row>
    <row r="265" spans="1:26" ht="16.05" customHeight="1" x14ac:dyDescent="0.3">
      <c r="A265" s="11" t="s">
        <v>465</v>
      </c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4"/>
      <c r="M265" s="76">
        <v>1380.82</v>
      </c>
      <c r="N265" s="76"/>
      <c r="O265" s="76"/>
      <c r="P265" s="76"/>
      <c r="Q265" s="14"/>
      <c r="R265" s="46">
        <v>1380.82</v>
      </c>
      <c r="S265" s="14"/>
      <c r="T265" s="47">
        <v>0</v>
      </c>
      <c r="U265" s="14"/>
      <c r="V265" s="48">
        <v>0</v>
      </c>
      <c r="W265" s="48"/>
      <c r="X265" s="14"/>
      <c r="Y265" s="14"/>
      <c r="Z265" s="14"/>
    </row>
    <row r="266" spans="1:26" ht="18" customHeight="1" x14ac:dyDescent="0.3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22"/>
      <c r="M266" s="77">
        <v>1380.82</v>
      </c>
      <c r="N266" s="77"/>
      <c r="O266" s="77"/>
      <c r="P266" s="77"/>
      <c r="Q266" s="22"/>
      <c r="R266" s="39">
        <v>1380.82</v>
      </c>
      <c r="S266" s="22"/>
      <c r="T266" s="30">
        <v>0</v>
      </c>
      <c r="U266" s="22"/>
      <c r="V266" s="29">
        <v>0</v>
      </c>
      <c r="W266" s="29"/>
      <c r="X266" s="22"/>
      <c r="Y266" s="22"/>
      <c r="Z266" s="22"/>
    </row>
    <row r="267" spans="1:26" ht="11.25" customHeight="1" x14ac:dyDescent="0.3">
      <c r="A267" s="40" t="s">
        <v>466</v>
      </c>
      <c r="B267" s="40"/>
      <c r="C267" s="40"/>
      <c r="D267" s="40"/>
      <c r="E267" s="40"/>
      <c r="F267" s="40"/>
      <c r="G267" s="40"/>
      <c r="H267" s="40"/>
      <c r="I267" s="40"/>
      <c r="J267" s="40"/>
      <c r="K267" s="40"/>
      <c r="L267" s="50"/>
      <c r="M267" s="41"/>
      <c r="N267" s="41"/>
      <c r="O267" s="41"/>
      <c r="P267" s="41"/>
      <c r="Q267" s="50"/>
      <c r="R267" s="50"/>
      <c r="S267" s="50"/>
      <c r="T267" s="50"/>
      <c r="U267" s="50"/>
      <c r="V267" s="41"/>
      <c r="W267" s="41"/>
      <c r="X267" s="50"/>
      <c r="Y267" s="50"/>
      <c r="Z267" s="14"/>
    </row>
    <row r="268" spans="1:26" ht="25.95" customHeight="1" x14ac:dyDescent="0.3">
      <c r="A268" s="74" t="s">
        <v>365</v>
      </c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22"/>
      <c r="M268" s="24" t="s">
        <v>342</v>
      </c>
      <c r="N268" s="24"/>
      <c r="O268" s="24"/>
      <c r="P268" s="24"/>
      <c r="Q268" s="22"/>
      <c r="R268" s="25" t="s">
        <v>343</v>
      </c>
      <c r="S268" s="22"/>
      <c r="T268" s="25" t="s">
        <v>344</v>
      </c>
      <c r="U268" s="22"/>
      <c r="V268" s="24" t="s">
        <v>345</v>
      </c>
      <c r="W268" s="24"/>
      <c r="X268" s="22"/>
      <c r="Y268" s="52" t="s">
        <v>346</v>
      </c>
      <c r="Z268" s="22"/>
    </row>
    <row r="269" spans="1:26" ht="16.05" customHeight="1" x14ac:dyDescent="0.3">
      <c r="A269" s="11" t="s">
        <v>467</v>
      </c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4"/>
      <c r="M269" s="76">
        <v>1315.07</v>
      </c>
      <c r="N269" s="76"/>
      <c r="O269" s="76"/>
      <c r="P269" s="76"/>
      <c r="Q269" s="14"/>
      <c r="R269" s="46">
        <v>1315.07</v>
      </c>
      <c r="S269" s="14"/>
      <c r="T269" s="47">
        <v>0</v>
      </c>
      <c r="U269" s="14"/>
      <c r="V269" s="48">
        <v>0</v>
      </c>
      <c r="W269" s="48"/>
      <c r="X269" s="14"/>
      <c r="Y269" s="14"/>
      <c r="Z269" s="14"/>
    </row>
    <row r="270" spans="1:26" ht="18" customHeight="1" x14ac:dyDescent="0.3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22"/>
      <c r="M270" s="77">
        <v>1315.07</v>
      </c>
      <c r="N270" s="77"/>
      <c r="O270" s="77"/>
      <c r="P270" s="77"/>
      <c r="Q270" s="22"/>
      <c r="R270" s="39">
        <v>1315.07</v>
      </c>
      <c r="S270" s="22"/>
      <c r="T270" s="30">
        <v>0</v>
      </c>
      <c r="U270" s="22"/>
      <c r="V270" s="29">
        <v>0</v>
      </c>
      <c r="W270" s="29"/>
      <c r="X270" s="22"/>
      <c r="Y270" s="22"/>
      <c r="Z270" s="22"/>
    </row>
    <row r="271" spans="1:26" ht="11.25" customHeight="1" x14ac:dyDescent="0.3">
      <c r="A271" s="40" t="s">
        <v>468</v>
      </c>
      <c r="B271" s="40"/>
      <c r="C271" s="40"/>
      <c r="D271" s="40"/>
      <c r="E271" s="40"/>
      <c r="F271" s="40"/>
      <c r="G271" s="40"/>
      <c r="H271" s="40"/>
      <c r="I271" s="40"/>
      <c r="J271" s="40"/>
      <c r="K271" s="40"/>
      <c r="L271" s="50"/>
      <c r="M271" s="41"/>
      <c r="N271" s="41"/>
      <c r="O271" s="41"/>
      <c r="P271" s="41"/>
      <c r="Q271" s="50"/>
      <c r="R271" s="50"/>
      <c r="S271" s="50"/>
      <c r="T271" s="50"/>
      <c r="U271" s="50"/>
      <c r="V271" s="41"/>
      <c r="W271" s="41"/>
      <c r="X271" s="50"/>
      <c r="Y271" s="50"/>
      <c r="Z271" s="14"/>
    </row>
    <row r="272" spans="1:26" ht="25.05" customHeight="1" x14ac:dyDescent="0.3">
      <c r="A272" s="74" t="s">
        <v>365</v>
      </c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22"/>
      <c r="M272" s="24" t="s">
        <v>342</v>
      </c>
      <c r="N272" s="24"/>
      <c r="O272" s="24"/>
      <c r="P272" s="24"/>
      <c r="Q272" s="22"/>
      <c r="R272" s="25" t="s">
        <v>343</v>
      </c>
      <c r="S272" s="22"/>
      <c r="T272" s="25" t="s">
        <v>344</v>
      </c>
      <c r="U272" s="22"/>
      <c r="V272" s="24" t="s">
        <v>345</v>
      </c>
      <c r="W272" s="24"/>
      <c r="X272" s="22"/>
      <c r="Y272" s="52" t="s">
        <v>346</v>
      </c>
      <c r="Z272" s="22"/>
    </row>
    <row r="273" spans="1:26" ht="13.95" customHeight="1" x14ac:dyDescent="0.3">
      <c r="A273" s="11" t="s">
        <v>469</v>
      </c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4"/>
      <c r="M273" s="77">
        <v>7643.84</v>
      </c>
      <c r="N273" s="77"/>
      <c r="O273" s="77"/>
      <c r="P273" s="77"/>
      <c r="Q273" s="14"/>
      <c r="R273" s="39">
        <v>7643.84</v>
      </c>
      <c r="S273" s="14"/>
      <c r="T273" s="30">
        <v>0</v>
      </c>
      <c r="U273" s="14"/>
      <c r="V273" s="29">
        <v>0</v>
      </c>
      <c r="W273" s="29"/>
      <c r="X273" s="14"/>
      <c r="Y273" s="14"/>
      <c r="Z273" s="14"/>
    </row>
    <row r="274" spans="1:26" ht="13.95" customHeight="1" x14ac:dyDescent="0.3">
      <c r="A274" s="11" t="s">
        <v>470</v>
      </c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4"/>
      <c r="M274" s="83">
        <v>7643.84</v>
      </c>
      <c r="N274" s="83"/>
      <c r="O274" s="83"/>
      <c r="P274" s="83"/>
      <c r="Q274" s="14"/>
      <c r="R274" s="54">
        <v>7643.84</v>
      </c>
      <c r="S274" s="14"/>
      <c r="T274" s="37">
        <v>0</v>
      </c>
      <c r="U274" s="14"/>
      <c r="V274" s="36">
        <v>0</v>
      </c>
      <c r="W274" s="36"/>
      <c r="X274" s="14"/>
      <c r="Y274" s="14"/>
      <c r="Z274" s="14"/>
    </row>
    <row r="275" spans="1:26" ht="18" customHeight="1" x14ac:dyDescent="0.3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22"/>
      <c r="M275" s="77">
        <v>15287.68</v>
      </c>
      <c r="N275" s="77"/>
      <c r="O275" s="77"/>
      <c r="P275" s="77"/>
      <c r="Q275" s="22"/>
      <c r="R275" s="39">
        <v>15287.68</v>
      </c>
      <c r="S275" s="22"/>
      <c r="T275" s="30">
        <v>0</v>
      </c>
      <c r="U275" s="22"/>
      <c r="V275" s="29">
        <v>0</v>
      </c>
      <c r="W275" s="29"/>
      <c r="X275" s="22"/>
      <c r="Y275" s="22"/>
      <c r="Z275" s="22"/>
    </row>
    <row r="276" spans="1:26" ht="11.25" customHeight="1" x14ac:dyDescent="0.3">
      <c r="A276" s="58">
        <v>1073</v>
      </c>
      <c r="B276" s="58"/>
      <c r="C276" s="68" t="s">
        <v>471</v>
      </c>
      <c r="D276" s="68"/>
      <c r="E276" s="68"/>
      <c r="F276" s="68"/>
      <c r="G276" s="68"/>
      <c r="H276" s="68"/>
      <c r="I276" s="68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14"/>
    </row>
    <row r="277" spans="1:26" ht="25.95" customHeight="1" x14ac:dyDescent="0.3">
      <c r="A277" s="38"/>
      <c r="B277" s="38"/>
      <c r="C277" s="69" t="s">
        <v>340</v>
      </c>
      <c r="D277" s="69"/>
      <c r="E277" s="69"/>
      <c r="F277" s="69"/>
      <c r="G277" s="69"/>
      <c r="H277" s="69"/>
      <c r="I277" s="69"/>
      <c r="J277" s="42" t="s">
        <v>341</v>
      </c>
      <c r="K277" s="42"/>
      <c r="L277" s="43" t="s">
        <v>342</v>
      </c>
      <c r="M277" s="43"/>
      <c r="N277" s="43"/>
      <c r="O277" s="43"/>
      <c r="P277" s="43"/>
      <c r="Q277" s="43" t="s">
        <v>343</v>
      </c>
      <c r="R277" s="43"/>
      <c r="S277" s="10" t="s">
        <v>344</v>
      </c>
      <c r="T277" s="10"/>
      <c r="U277" s="43" t="s">
        <v>345</v>
      </c>
      <c r="V277" s="43"/>
      <c r="W277" s="43"/>
      <c r="X277" s="44" t="s">
        <v>346</v>
      </c>
      <c r="Y277" s="44"/>
      <c r="Z277" s="22"/>
    </row>
    <row r="278" spans="1:26" ht="16.05" customHeight="1" x14ac:dyDescent="0.3">
      <c r="A278" s="11" t="s">
        <v>472</v>
      </c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4"/>
      <c r="M278" s="76">
        <v>1299.45</v>
      </c>
      <c r="N278" s="76"/>
      <c r="O278" s="76"/>
      <c r="P278" s="76"/>
      <c r="Q278" s="14"/>
      <c r="R278" s="46">
        <v>1299.45</v>
      </c>
      <c r="S278" s="14"/>
      <c r="T278" s="47">
        <v>0</v>
      </c>
      <c r="U278" s="14"/>
      <c r="V278" s="48">
        <v>0</v>
      </c>
      <c r="W278" s="48"/>
      <c r="X278" s="14"/>
      <c r="Y278" s="14"/>
      <c r="Z278" s="14"/>
    </row>
    <row r="279" spans="1:26" ht="18" customHeight="1" x14ac:dyDescent="0.3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22"/>
      <c r="M279" s="77">
        <v>1299.45</v>
      </c>
      <c r="N279" s="77"/>
      <c r="O279" s="77"/>
      <c r="P279" s="77"/>
      <c r="Q279" s="22"/>
      <c r="R279" s="39">
        <v>1299.45</v>
      </c>
      <c r="S279" s="22"/>
      <c r="T279" s="30">
        <v>0</v>
      </c>
      <c r="U279" s="22"/>
      <c r="V279" s="29">
        <v>0</v>
      </c>
      <c r="W279" s="29"/>
      <c r="X279" s="22"/>
      <c r="Y279" s="22"/>
      <c r="Z279" s="22"/>
    </row>
    <row r="280" spans="1:26" ht="11.25" customHeight="1" x14ac:dyDescent="0.3">
      <c r="A280" s="40" t="s">
        <v>473</v>
      </c>
      <c r="B280" s="40"/>
      <c r="C280" s="40"/>
      <c r="D280" s="40"/>
      <c r="E280" s="40"/>
      <c r="F280" s="40"/>
      <c r="G280" s="40"/>
      <c r="H280" s="40"/>
      <c r="I280" s="40"/>
      <c r="J280" s="40"/>
      <c r="K280" s="40"/>
      <c r="L280" s="50"/>
      <c r="M280" s="41"/>
      <c r="N280" s="41"/>
      <c r="O280" s="41"/>
      <c r="P280" s="41"/>
      <c r="Q280" s="50"/>
      <c r="R280" s="50"/>
      <c r="S280" s="50"/>
      <c r="T280" s="50"/>
      <c r="U280" s="50"/>
      <c r="V280" s="41"/>
      <c r="W280" s="41"/>
      <c r="X280" s="50"/>
      <c r="Y280" s="50"/>
      <c r="Z280" s="14"/>
    </row>
    <row r="281" spans="1:26" ht="25.05" customHeight="1" x14ac:dyDescent="0.3">
      <c r="A281" s="74" t="s">
        <v>365</v>
      </c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22"/>
      <c r="M281" s="24" t="s">
        <v>342</v>
      </c>
      <c r="N281" s="24"/>
      <c r="O281" s="24"/>
      <c r="P281" s="24"/>
      <c r="Q281" s="22"/>
      <c r="R281" s="25" t="s">
        <v>343</v>
      </c>
      <c r="S281" s="22"/>
      <c r="T281" s="25" t="s">
        <v>344</v>
      </c>
      <c r="U281" s="22"/>
      <c r="V281" s="24" t="s">
        <v>345</v>
      </c>
      <c r="W281" s="24"/>
      <c r="X281" s="22"/>
      <c r="Y281" s="52" t="s">
        <v>346</v>
      </c>
      <c r="Z281" s="22"/>
    </row>
    <row r="282" spans="1:26" ht="16.05" customHeight="1" x14ac:dyDescent="0.3">
      <c r="A282" s="11" t="s">
        <v>474</v>
      </c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4"/>
      <c r="M282" s="76">
        <v>1232.8800000000001</v>
      </c>
      <c r="N282" s="76"/>
      <c r="O282" s="76"/>
      <c r="P282" s="76"/>
      <c r="Q282" s="14"/>
      <c r="R282" s="46">
        <v>1232.8800000000001</v>
      </c>
      <c r="S282" s="14"/>
      <c r="T282" s="47">
        <v>0</v>
      </c>
      <c r="U282" s="14"/>
      <c r="V282" s="48">
        <v>0</v>
      </c>
      <c r="W282" s="48"/>
      <c r="X282" s="14"/>
      <c r="Y282" s="14"/>
      <c r="Z282" s="14"/>
    </row>
    <row r="283" spans="1:26" ht="18" customHeight="1" x14ac:dyDescent="0.3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22"/>
      <c r="M283" s="77">
        <v>1232.8800000000001</v>
      </c>
      <c r="N283" s="77"/>
      <c r="O283" s="77"/>
      <c r="P283" s="77"/>
      <c r="Q283" s="22"/>
      <c r="R283" s="39">
        <v>1232.8800000000001</v>
      </c>
      <c r="S283" s="22"/>
      <c r="T283" s="30">
        <v>0</v>
      </c>
      <c r="U283" s="22"/>
      <c r="V283" s="29">
        <v>0</v>
      </c>
      <c r="W283" s="29"/>
      <c r="X283" s="22"/>
      <c r="Y283" s="22"/>
      <c r="Z283" s="22"/>
    </row>
    <row r="284" spans="1:26" ht="11.25" customHeight="1" x14ac:dyDescent="0.3">
      <c r="A284" s="40" t="s">
        <v>475</v>
      </c>
      <c r="B284" s="40"/>
      <c r="C284" s="40"/>
      <c r="D284" s="40"/>
      <c r="E284" s="40"/>
      <c r="F284" s="40"/>
      <c r="G284" s="40"/>
      <c r="H284" s="40"/>
      <c r="I284" s="40"/>
      <c r="J284" s="40"/>
      <c r="K284" s="40"/>
      <c r="L284" s="50"/>
      <c r="M284" s="41"/>
      <c r="N284" s="41"/>
      <c r="O284" s="41"/>
      <c r="P284" s="41"/>
      <c r="Q284" s="50"/>
      <c r="R284" s="50"/>
      <c r="S284" s="50"/>
      <c r="T284" s="50"/>
      <c r="U284" s="50"/>
      <c r="V284" s="41"/>
      <c r="W284" s="41"/>
      <c r="X284" s="50"/>
      <c r="Y284" s="50"/>
      <c r="Z284" s="14"/>
    </row>
    <row r="285" spans="1:26" ht="25.95" customHeight="1" x14ac:dyDescent="0.3">
      <c r="A285" s="74" t="s">
        <v>365</v>
      </c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22"/>
      <c r="M285" s="24" t="s">
        <v>342</v>
      </c>
      <c r="N285" s="24"/>
      <c r="O285" s="24"/>
      <c r="P285" s="24"/>
      <c r="Q285" s="22"/>
      <c r="R285" s="25" t="s">
        <v>343</v>
      </c>
      <c r="S285" s="22"/>
      <c r="T285" s="25" t="s">
        <v>344</v>
      </c>
      <c r="U285" s="22"/>
      <c r="V285" s="24" t="s">
        <v>345</v>
      </c>
      <c r="W285" s="24"/>
      <c r="X285" s="22"/>
      <c r="Y285" s="52" t="s">
        <v>346</v>
      </c>
      <c r="Z285" s="22"/>
    </row>
    <row r="286" spans="1:26" ht="16.05" customHeight="1" x14ac:dyDescent="0.3">
      <c r="A286" s="11" t="s">
        <v>476</v>
      </c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4"/>
      <c r="M286" s="76">
        <v>4109.59</v>
      </c>
      <c r="N286" s="76"/>
      <c r="O286" s="76"/>
      <c r="P286" s="76"/>
      <c r="Q286" s="14"/>
      <c r="R286" s="46">
        <v>4109.59</v>
      </c>
      <c r="S286" s="14"/>
      <c r="T286" s="47">
        <v>0</v>
      </c>
      <c r="U286" s="14"/>
      <c r="V286" s="48">
        <v>0</v>
      </c>
      <c r="W286" s="48"/>
      <c r="X286" s="14"/>
      <c r="Y286" s="14"/>
      <c r="Z286" s="14"/>
    </row>
    <row r="287" spans="1:26" ht="18" customHeight="1" x14ac:dyDescent="0.3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22"/>
      <c r="M287" s="77">
        <v>4109.59</v>
      </c>
      <c r="N287" s="77"/>
      <c r="O287" s="77"/>
      <c r="P287" s="77"/>
      <c r="Q287" s="22"/>
      <c r="R287" s="39">
        <v>4109.59</v>
      </c>
      <c r="S287" s="22"/>
      <c r="T287" s="30">
        <v>0</v>
      </c>
      <c r="U287" s="22"/>
      <c r="V287" s="29">
        <v>0</v>
      </c>
      <c r="W287" s="29"/>
      <c r="X287" s="22"/>
      <c r="Y287" s="22"/>
      <c r="Z287" s="22"/>
    </row>
    <row r="288" spans="1:26" ht="11.25" customHeight="1" x14ac:dyDescent="0.3">
      <c r="A288" s="40" t="s">
        <v>477</v>
      </c>
      <c r="B288" s="40"/>
      <c r="C288" s="40"/>
      <c r="D288" s="40"/>
      <c r="E288" s="40"/>
      <c r="F288" s="40"/>
      <c r="G288" s="40"/>
      <c r="H288" s="40"/>
      <c r="I288" s="40"/>
      <c r="J288" s="40"/>
      <c r="K288" s="40"/>
      <c r="L288" s="50"/>
      <c r="M288" s="41"/>
      <c r="N288" s="41"/>
      <c r="O288" s="41"/>
      <c r="P288" s="41"/>
      <c r="Q288" s="50"/>
      <c r="R288" s="50"/>
      <c r="S288" s="50"/>
      <c r="T288" s="50"/>
      <c r="U288" s="50"/>
      <c r="V288" s="41"/>
      <c r="W288" s="41"/>
      <c r="X288" s="50"/>
      <c r="Y288" s="50"/>
      <c r="Z288" s="14"/>
    </row>
    <row r="289" spans="1:26" ht="25.05" customHeight="1" x14ac:dyDescent="0.3">
      <c r="A289" s="74" t="s">
        <v>365</v>
      </c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22"/>
      <c r="M289" s="24" t="s">
        <v>342</v>
      </c>
      <c r="N289" s="24"/>
      <c r="O289" s="24"/>
      <c r="P289" s="24"/>
      <c r="Q289" s="22"/>
      <c r="R289" s="25" t="s">
        <v>343</v>
      </c>
      <c r="S289" s="22"/>
      <c r="T289" s="25" t="s">
        <v>344</v>
      </c>
      <c r="U289" s="22"/>
      <c r="V289" s="24" t="s">
        <v>345</v>
      </c>
      <c r="W289" s="24"/>
      <c r="X289" s="22"/>
      <c r="Y289" s="52" t="s">
        <v>346</v>
      </c>
      <c r="Z289" s="22"/>
    </row>
    <row r="290" spans="1:26" ht="13.95" customHeight="1" x14ac:dyDescent="0.3">
      <c r="A290" s="11" t="s">
        <v>478</v>
      </c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4"/>
      <c r="M290" s="29">
        <v>0</v>
      </c>
      <c r="N290" s="29"/>
      <c r="O290" s="29"/>
      <c r="P290" s="29"/>
      <c r="Q290" s="14"/>
      <c r="R290" s="39">
        <v>3274.27</v>
      </c>
      <c r="S290" s="14"/>
      <c r="T290" s="39">
        <v>-3274.27</v>
      </c>
      <c r="U290" s="14"/>
      <c r="V290" s="29">
        <v>0</v>
      </c>
      <c r="W290" s="29"/>
      <c r="X290" s="14"/>
      <c r="Y290" s="14"/>
      <c r="Z290" s="14"/>
    </row>
    <row r="291" spans="1:26" ht="12" customHeight="1" x14ac:dyDescent="0.3">
      <c r="A291" s="11" t="s">
        <v>479</v>
      </c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4"/>
      <c r="M291" s="34">
        <v>0</v>
      </c>
      <c r="N291" s="34"/>
      <c r="O291" s="34"/>
      <c r="P291" s="34"/>
      <c r="Q291" s="14"/>
      <c r="R291" s="35">
        <v>109.24</v>
      </c>
      <c r="S291" s="14"/>
      <c r="T291" s="35">
        <v>-109.24</v>
      </c>
      <c r="U291" s="14"/>
      <c r="V291" s="34">
        <v>0</v>
      </c>
      <c r="W291" s="34"/>
      <c r="X291" s="14"/>
      <c r="Y291" s="14"/>
      <c r="Z291" s="14"/>
    </row>
    <row r="292" spans="1:26" ht="13.95" customHeight="1" x14ac:dyDescent="0.3">
      <c r="A292" s="11" t="s">
        <v>480</v>
      </c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4"/>
      <c r="M292" s="36">
        <v>0</v>
      </c>
      <c r="N292" s="36"/>
      <c r="O292" s="36"/>
      <c r="P292" s="36"/>
      <c r="Q292" s="14"/>
      <c r="R292" s="54">
        <v>1149.5</v>
      </c>
      <c r="S292" s="14"/>
      <c r="T292" s="54">
        <v>-1149.5</v>
      </c>
      <c r="U292" s="14"/>
      <c r="V292" s="36">
        <v>0</v>
      </c>
      <c r="W292" s="36"/>
      <c r="X292" s="14"/>
      <c r="Y292" s="14"/>
      <c r="Z292" s="14"/>
    </row>
    <row r="293" spans="1:26" ht="11.25" customHeight="1" x14ac:dyDescent="0.3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4"/>
      <c r="M293" s="29">
        <v>0</v>
      </c>
      <c r="N293" s="29"/>
      <c r="O293" s="29"/>
      <c r="P293" s="29"/>
      <c r="Q293" s="14"/>
      <c r="R293" s="39">
        <v>4533.01</v>
      </c>
      <c r="S293" s="14"/>
      <c r="T293" s="39">
        <v>-4533.01</v>
      </c>
      <c r="U293" s="14"/>
      <c r="V293" s="29">
        <v>0</v>
      </c>
      <c r="W293" s="29"/>
      <c r="X293" s="14"/>
      <c r="Y293" s="14"/>
      <c r="Z293" s="14"/>
    </row>
    <row r="294" spans="1:26" ht="11.25" customHeight="1" x14ac:dyDescent="0.3">
      <c r="A294" s="40" t="s">
        <v>481</v>
      </c>
      <c r="B294" s="40"/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14"/>
    </row>
    <row r="295" spans="1:26" ht="25.05" customHeight="1" x14ac:dyDescent="0.3">
      <c r="A295" s="74" t="s">
        <v>365</v>
      </c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87" t="s">
        <v>342</v>
      </c>
      <c r="Q295" s="22"/>
      <c r="R295" s="25" t="s">
        <v>343</v>
      </c>
      <c r="S295" s="22"/>
      <c r="T295" s="25" t="s">
        <v>344</v>
      </c>
      <c r="U295" s="22"/>
      <c r="V295" s="24" t="s">
        <v>345</v>
      </c>
      <c r="W295" s="24"/>
      <c r="X295" s="22"/>
      <c r="Y295" s="52" t="s">
        <v>346</v>
      </c>
      <c r="Z295" s="22"/>
    </row>
    <row r="296" spans="1:26" ht="13.95" customHeight="1" x14ac:dyDescent="0.3">
      <c r="A296" s="11" t="s">
        <v>482</v>
      </c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30">
        <v>764.38</v>
      </c>
      <c r="Q296" s="14"/>
      <c r="R296" s="30">
        <v>764.38</v>
      </c>
      <c r="S296" s="14"/>
      <c r="T296" s="30">
        <v>0</v>
      </c>
      <c r="U296" s="14"/>
      <c r="V296" s="29">
        <v>0</v>
      </c>
      <c r="W296" s="29"/>
      <c r="X296" s="14"/>
      <c r="Y296" s="14"/>
      <c r="Z296" s="14"/>
    </row>
    <row r="297" spans="1:26" ht="13.95" customHeight="1" x14ac:dyDescent="0.3">
      <c r="A297" s="11" t="s">
        <v>483</v>
      </c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54">
        <v>4968.49</v>
      </c>
      <c r="Q297" s="14"/>
      <c r="R297" s="54">
        <v>4968.49</v>
      </c>
      <c r="S297" s="14"/>
      <c r="T297" s="37">
        <v>0</v>
      </c>
      <c r="U297" s="14"/>
      <c r="V297" s="36">
        <v>0</v>
      </c>
      <c r="W297" s="36"/>
      <c r="X297" s="14"/>
      <c r="Y297" s="14"/>
      <c r="Z297" s="14"/>
    </row>
    <row r="298" spans="1:26" ht="18" customHeight="1" x14ac:dyDescent="0.3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9">
        <v>5732.87</v>
      </c>
      <c r="Q298" s="22"/>
      <c r="R298" s="39">
        <v>5732.87</v>
      </c>
      <c r="S298" s="22"/>
      <c r="T298" s="30">
        <v>0</v>
      </c>
      <c r="U298" s="22"/>
      <c r="V298" s="29">
        <v>0</v>
      </c>
      <c r="W298" s="29"/>
      <c r="X298" s="22"/>
      <c r="Y298" s="22"/>
      <c r="Z298" s="22"/>
    </row>
    <row r="299" spans="1:26" ht="12" customHeight="1" x14ac:dyDescent="0.3">
      <c r="A299" s="40" t="s">
        <v>484</v>
      </c>
      <c r="B299" s="40"/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50"/>
      <c r="Q299" s="50"/>
      <c r="R299" s="50"/>
      <c r="S299" s="50"/>
      <c r="T299" s="50"/>
      <c r="U299" s="50"/>
      <c r="V299" s="41"/>
      <c r="W299" s="41"/>
      <c r="X299" s="50"/>
      <c r="Y299" s="50"/>
      <c r="Z299" s="14"/>
    </row>
    <row r="300" spans="1:26" ht="25.05" customHeight="1" x14ac:dyDescent="0.3">
      <c r="A300" s="74" t="s">
        <v>365</v>
      </c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87" t="s">
        <v>342</v>
      </c>
      <c r="Q300" s="22"/>
      <c r="R300" s="25" t="s">
        <v>343</v>
      </c>
      <c r="S300" s="22"/>
      <c r="T300" s="25" t="s">
        <v>344</v>
      </c>
      <c r="U300" s="22"/>
      <c r="V300" s="24" t="s">
        <v>345</v>
      </c>
      <c r="W300" s="24"/>
      <c r="X300" s="22"/>
      <c r="Y300" s="52" t="s">
        <v>346</v>
      </c>
      <c r="Z300" s="22"/>
    </row>
    <row r="301" spans="1:26" ht="16.05" customHeight="1" x14ac:dyDescent="0.3">
      <c r="A301" s="11" t="s">
        <v>485</v>
      </c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46">
        <v>3057.53</v>
      </c>
      <c r="Q301" s="14"/>
      <c r="R301" s="46">
        <v>3057.53</v>
      </c>
      <c r="S301" s="14"/>
      <c r="T301" s="47">
        <v>0</v>
      </c>
      <c r="U301" s="14"/>
      <c r="V301" s="48">
        <v>0</v>
      </c>
      <c r="W301" s="48"/>
      <c r="X301" s="14"/>
      <c r="Y301" s="14"/>
      <c r="Z301" s="14"/>
    </row>
    <row r="302" spans="1:26" ht="18" customHeight="1" x14ac:dyDescent="0.3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9">
        <v>3057.53</v>
      </c>
      <c r="Q302" s="22"/>
      <c r="R302" s="39">
        <v>3057.53</v>
      </c>
      <c r="S302" s="22"/>
      <c r="T302" s="30">
        <v>0</v>
      </c>
      <c r="U302" s="22"/>
      <c r="V302" s="29">
        <v>0</v>
      </c>
      <c r="W302" s="29"/>
      <c r="X302" s="22"/>
      <c r="Y302" s="22"/>
      <c r="Z302" s="22"/>
    </row>
    <row r="303" spans="1:26" ht="11.25" customHeight="1" x14ac:dyDescent="0.3">
      <c r="A303" s="40" t="s">
        <v>486</v>
      </c>
      <c r="B303" s="40"/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50"/>
      <c r="Q303" s="50"/>
      <c r="R303" s="50"/>
      <c r="S303" s="50"/>
      <c r="T303" s="50"/>
      <c r="U303" s="50"/>
      <c r="V303" s="41"/>
      <c r="W303" s="41"/>
      <c r="X303" s="50"/>
      <c r="Y303" s="50"/>
      <c r="Z303" s="14"/>
    </row>
    <row r="304" spans="1:26" ht="25.05" customHeight="1" x14ac:dyDescent="0.3">
      <c r="A304" s="74" t="s">
        <v>365</v>
      </c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87" t="s">
        <v>342</v>
      </c>
      <c r="Q304" s="22"/>
      <c r="R304" s="25" t="s">
        <v>343</v>
      </c>
      <c r="S304" s="22"/>
      <c r="T304" s="25" t="s">
        <v>344</v>
      </c>
      <c r="U304" s="22"/>
      <c r="V304" s="24" t="s">
        <v>345</v>
      </c>
      <c r="W304" s="24"/>
      <c r="X304" s="22"/>
      <c r="Y304" s="52" t="s">
        <v>346</v>
      </c>
      <c r="Z304" s="22"/>
    </row>
    <row r="305" spans="1:26" ht="16.05" customHeight="1" x14ac:dyDescent="0.3">
      <c r="A305" s="11" t="s">
        <v>487</v>
      </c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47">
        <v>764.38</v>
      </c>
      <c r="Q305" s="14"/>
      <c r="R305" s="47">
        <v>764.38</v>
      </c>
      <c r="S305" s="14"/>
      <c r="T305" s="47">
        <v>0</v>
      </c>
      <c r="U305" s="14"/>
      <c r="V305" s="48">
        <v>0</v>
      </c>
      <c r="W305" s="48"/>
      <c r="X305" s="14"/>
      <c r="Y305" s="14"/>
      <c r="Z305" s="14"/>
    </row>
    <row r="306" spans="1:26" ht="18" customHeight="1" x14ac:dyDescent="0.3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0">
        <v>764.38</v>
      </c>
      <c r="Q306" s="22"/>
      <c r="R306" s="30">
        <v>764.38</v>
      </c>
      <c r="S306" s="22"/>
      <c r="T306" s="30">
        <v>0</v>
      </c>
      <c r="U306" s="22"/>
      <c r="V306" s="29">
        <v>0</v>
      </c>
      <c r="W306" s="29"/>
      <c r="X306" s="22"/>
      <c r="Y306" s="22"/>
      <c r="Z306" s="22"/>
    </row>
    <row r="307" spans="1:26" ht="11.25" customHeight="1" x14ac:dyDescent="0.3">
      <c r="A307" s="40" t="s">
        <v>488</v>
      </c>
      <c r="B307" s="40"/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50"/>
      <c r="Q307" s="50"/>
      <c r="R307" s="50"/>
      <c r="S307" s="50"/>
      <c r="T307" s="50"/>
      <c r="U307" s="50"/>
      <c r="V307" s="41"/>
      <c r="W307" s="41"/>
      <c r="X307" s="50"/>
      <c r="Y307" s="50"/>
      <c r="Z307" s="14"/>
    </row>
    <row r="308" spans="1:26" ht="25.95" customHeight="1" x14ac:dyDescent="0.3">
      <c r="A308" s="74" t="s">
        <v>365</v>
      </c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87" t="s">
        <v>342</v>
      </c>
      <c r="Q308" s="22"/>
      <c r="R308" s="25" t="s">
        <v>343</v>
      </c>
      <c r="S308" s="22"/>
      <c r="T308" s="25" t="s">
        <v>344</v>
      </c>
      <c r="U308" s="22"/>
      <c r="V308" s="24" t="s">
        <v>345</v>
      </c>
      <c r="W308" s="24"/>
      <c r="X308" s="22"/>
      <c r="Y308" s="52" t="s">
        <v>346</v>
      </c>
      <c r="Z308" s="22"/>
    </row>
    <row r="309" spans="1:26" ht="16.05" customHeight="1" x14ac:dyDescent="0.3">
      <c r="A309" s="11" t="s">
        <v>489</v>
      </c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47">
        <v>764.38</v>
      </c>
      <c r="Q309" s="14"/>
      <c r="R309" s="47">
        <v>764.38</v>
      </c>
      <c r="S309" s="14"/>
      <c r="T309" s="47">
        <v>0</v>
      </c>
      <c r="U309" s="14"/>
      <c r="V309" s="48">
        <v>0</v>
      </c>
      <c r="W309" s="48"/>
      <c r="X309" s="14"/>
      <c r="Y309" s="14"/>
      <c r="Z309" s="14"/>
    </row>
    <row r="310" spans="1:26" ht="18" customHeight="1" x14ac:dyDescent="0.3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0">
        <v>764.38</v>
      </c>
      <c r="Q310" s="22"/>
      <c r="R310" s="30">
        <v>764.38</v>
      </c>
      <c r="S310" s="22"/>
      <c r="T310" s="30">
        <v>0</v>
      </c>
      <c r="U310" s="22"/>
      <c r="V310" s="29">
        <v>0</v>
      </c>
      <c r="W310" s="29"/>
      <c r="X310" s="22"/>
      <c r="Y310" s="22"/>
      <c r="Z310" s="22"/>
    </row>
    <row r="311" spans="1:26" ht="11.25" customHeight="1" x14ac:dyDescent="0.3">
      <c r="A311" s="40" t="s">
        <v>490</v>
      </c>
      <c r="B311" s="40"/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50"/>
      <c r="Q311" s="50"/>
      <c r="R311" s="50"/>
      <c r="S311" s="50"/>
      <c r="T311" s="50"/>
      <c r="U311" s="50"/>
      <c r="V311" s="41"/>
      <c r="W311" s="41"/>
      <c r="X311" s="50"/>
      <c r="Y311" s="50"/>
      <c r="Z311" s="14"/>
    </row>
    <row r="312" spans="1:26" ht="25.05" customHeight="1" x14ac:dyDescent="0.3">
      <c r="A312" s="74" t="s">
        <v>365</v>
      </c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87" t="s">
        <v>342</v>
      </c>
      <c r="Q312" s="22"/>
      <c r="R312" s="25" t="s">
        <v>343</v>
      </c>
      <c r="S312" s="22"/>
      <c r="T312" s="25" t="s">
        <v>344</v>
      </c>
      <c r="U312" s="22"/>
      <c r="V312" s="24" t="s">
        <v>345</v>
      </c>
      <c r="W312" s="24"/>
      <c r="X312" s="22"/>
      <c r="Y312" s="52" t="s">
        <v>346</v>
      </c>
      <c r="Z312" s="22"/>
    </row>
    <row r="313" spans="1:26" ht="16.05" customHeight="1" x14ac:dyDescent="0.3">
      <c r="A313" s="11" t="s">
        <v>491</v>
      </c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46">
        <v>7561.64</v>
      </c>
      <c r="Q313" s="14"/>
      <c r="R313" s="46">
        <v>7561.64</v>
      </c>
      <c r="S313" s="14"/>
      <c r="T313" s="47">
        <v>0</v>
      </c>
      <c r="U313" s="14"/>
      <c r="V313" s="48">
        <v>0</v>
      </c>
      <c r="W313" s="48"/>
      <c r="X313" s="14"/>
      <c r="Y313" s="14"/>
      <c r="Z313" s="14"/>
    </row>
    <row r="314" spans="1:26" ht="18" customHeight="1" x14ac:dyDescent="0.3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9">
        <v>7561.64</v>
      </c>
      <c r="Q314" s="22"/>
      <c r="R314" s="39">
        <v>7561.64</v>
      </c>
      <c r="S314" s="22"/>
      <c r="T314" s="30">
        <v>0</v>
      </c>
      <c r="U314" s="22"/>
      <c r="V314" s="29">
        <v>0</v>
      </c>
      <c r="W314" s="29"/>
      <c r="X314" s="22"/>
      <c r="Y314" s="22"/>
      <c r="Z314" s="22"/>
    </row>
    <row r="315" spans="1:26" ht="11.25" customHeight="1" x14ac:dyDescent="0.3">
      <c r="A315" s="58">
        <v>1098</v>
      </c>
      <c r="B315" s="58"/>
      <c r="C315" s="68" t="s">
        <v>492</v>
      </c>
      <c r="D315" s="68"/>
      <c r="E315" s="68"/>
      <c r="F315" s="68"/>
      <c r="G315" s="68"/>
      <c r="H315" s="68"/>
      <c r="I315" s="68"/>
      <c r="J315" s="68"/>
      <c r="K315" s="41"/>
      <c r="L315" s="41"/>
      <c r="M315" s="41"/>
      <c r="N315" s="41"/>
      <c r="O315" s="41"/>
      <c r="P315" s="50"/>
      <c r="Q315" s="41"/>
      <c r="R315" s="41"/>
      <c r="S315" s="41"/>
      <c r="T315" s="41"/>
      <c r="U315" s="41"/>
      <c r="V315" s="41"/>
      <c r="W315" s="41"/>
      <c r="X315" s="41"/>
      <c r="Y315" s="41"/>
      <c r="Z315" s="14"/>
    </row>
    <row r="316" spans="1:26" ht="25.95" customHeight="1" x14ac:dyDescent="0.3">
      <c r="A316" s="38"/>
      <c r="B316" s="38"/>
      <c r="C316" s="10" t="s">
        <v>340</v>
      </c>
      <c r="D316" s="10"/>
      <c r="E316" s="10"/>
      <c r="F316" s="10"/>
      <c r="G316" s="10"/>
      <c r="H316" s="10"/>
      <c r="I316" s="10"/>
      <c r="J316" s="10"/>
      <c r="K316" s="78" t="s">
        <v>341</v>
      </c>
      <c r="L316" s="78"/>
      <c r="M316" s="78"/>
      <c r="N316" s="78"/>
      <c r="O316" s="78"/>
      <c r="P316" s="88" t="s">
        <v>342</v>
      </c>
      <c r="Q316" s="43" t="s">
        <v>343</v>
      </c>
      <c r="R316" s="43"/>
      <c r="S316" s="10" t="s">
        <v>344</v>
      </c>
      <c r="T316" s="10"/>
      <c r="U316" s="43" t="s">
        <v>345</v>
      </c>
      <c r="V316" s="43"/>
      <c r="W316" s="43"/>
      <c r="X316" s="44" t="s">
        <v>346</v>
      </c>
      <c r="Y316" s="44"/>
      <c r="Z316" s="22"/>
    </row>
    <row r="317" spans="1:26" ht="16.05" customHeight="1" x14ac:dyDescent="0.3">
      <c r="A317" s="32">
        <v>1206</v>
      </c>
      <c r="B317" s="32"/>
      <c r="C317" s="32"/>
      <c r="D317" s="32"/>
      <c r="E317" s="32"/>
      <c r="F317" s="32"/>
      <c r="G317" s="32"/>
      <c r="H317" s="14"/>
      <c r="I317" s="28" t="s">
        <v>347</v>
      </c>
      <c r="J317" s="28"/>
      <c r="K317" s="28"/>
      <c r="L317" s="14"/>
      <c r="M317" s="89">
        <v>789.04</v>
      </c>
      <c r="N317" s="89"/>
      <c r="O317" s="89"/>
      <c r="P317" s="89"/>
      <c r="Q317" s="14"/>
      <c r="R317" s="47">
        <v>789.04</v>
      </c>
      <c r="S317" s="14"/>
      <c r="T317" s="47">
        <v>0</v>
      </c>
      <c r="U317" s="14"/>
      <c r="V317" s="48">
        <v>0</v>
      </c>
      <c r="W317" s="48"/>
      <c r="X317" s="14"/>
      <c r="Y317" s="31"/>
      <c r="Z317" s="14"/>
    </row>
    <row r="318" spans="1:26" ht="11.25" customHeight="1" x14ac:dyDescent="0.3">
      <c r="A318" s="18"/>
      <c r="B318" s="18"/>
      <c r="C318" s="18"/>
      <c r="D318" s="18"/>
      <c r="E318" s="18"/>
      <c r="F318" s="18"/>
      <c r="G318" s="18"/>
      <c r="H318" s="14"/>
      <c r="I318" s="18"/>
      <c r="J318" s="18"/>
      <c r="K318" s="18"/>
      <c r="L318" s="14"/>
      <c r="M318" s="60">
        <v>789.04</v>
      </c>
      <c r="N318" s="60"/>
      <c r="O318" s="60"/>
      <c r="P318" s="60"/>
      <c r="Q318" s="14"/>
      <c r="R318" s="30">
        <v>789.04</v>
      </c>
      <c r="S318" s="14"/>
      <c r="T318" s="30">
        <v>0</v>
      </c>
      <c r="U318" s="14"/>
      <c r="V318" s="29">
        <v>0</v>
      </c>
      <c r="W318" s="29"/>
      <c r="X318" s="14"/>
      <c r="Y318" s="14"/>
      <c r="Z318" s="14"/>
    </row>
    <row r="319" spans="1:26" ht="8.5500000000000007" customHeight="1" x14ac:dyDescent="0.3">
      <c r="A319" s="14"/>
      <c r="B319" s="14"/>
      <c r="C319" s="18"/>
      <c r="D319" s="18"/>
      <c r="E319" s="18"/>
      <c r="F319" s="18"/>
      <c r="G319" s="18"/>
      <c r="H319" s="14"/>
      <c r="I319" s="18"/>
      <c r="J319" s="18"/>
      <c r="K319" s="14"/>
      <c r="L319" s="14"/>
      <c r="M319" s="18"/>
      <c r="N319" s="18"/>
      <c r="O319" s="18"/>
      <c r="P319" s="14"/>
      <c r="Q319" s="14"/>
      <c r="R319" s="14"/>
      <c r="S319" s="14"/>
      <c r="T319" s="14"/>
      <c r="U319" s="14"/>
      <c r="V319" s="18"/>
      <c r="W319" s="18"/>
      <c r="X319" s="14"/>
      <c r="Y319" s="14"/>
      <c r="Z319" s="14"/>
    </row>
    <row r="320" spans="1:26" ht="11.25" customHeight="1" x14ac:dyDescent="0.3">
      <c r="A320" s="14"/>
      <c r="B320" s="20" t="s">
        <v>493</v>
      </c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</row>
    <row r="321" spans="1:26" ht="6" customHeight="1" x14ac:dyDescent="0.3">
      <c r="A321" s="14"/>
      <c r="B321" s="14"/>
      <c r="C321" s="18"/>
      <c r="D321" s="18"/>
      <c r="E321" s="18"/>
      <c r="F321" s="18"/>
      <c r="G321" s="18"/>
      <c r="H321" s="14"/>
      <c r="I321" s="18"/>
      <c r="J321" s="18"/>
      <c r="K321" s="14"/>
      <c r="L321" s="14"/>
      <c r="M321" s="18"/>
      <c r="N321" s="18"/>
      <c r="O321" s="18"/>
      <c r="P321" s="14"/>
      <c r="Q321" s="14"/>
      <c r="R321" s="14"/>
      <c r="S321" s="14"/>
      <c r="T321" s="14"/>
      <c r="U321" s="14"/>
      <c r="V321" s="18"/>
      <c r="W321" s="18"/>
      <c r="X321" s="14"/>
      <c r="Y321" s="14"/>
      <c r="Z321" s="14"/>
    </row>
    <row r="322" spans="1:26" ht="35.549999999999997" customHeight="1" x14ac:dyDescent="0.3">
      <c r="A322" s="63" t="s">
        <v>494</v>
      </c>
      <c r="B322" s="63"/>
      <c r="C322" s="63"/>
      <c r="D322" s="63"/>
      <c r="E322" s="63"/>
      <c r="F322" s="63"/>
      <c r="G322" s="63"/>
      <c r="H322" s="64"/>
      <c r="I322" s="63" t="s">
        <v>356</v>
      </c>
      <c r="J322" s="63"/>
      <c r="K322" s="63"/>
      <c r="L322" s="64"/>
      <c r="M322" s="65" t="s">
        <v>495</v>
      </c>
      <c r="N322" s="65"/>
      <c r="O322" s="65"/>
      <c r="P322" s="65"/>
      <c r="Q322" s="64"/>
      <c r="R322" s="66" t="s">
        <v>496</v>
      </c>
      <c r="S322" s="64"/>
      <c r="T322" s="66" t="s">
        <v>359</v>
      </c>
      <c r="U322" s="64"/>
      <c r="V322" s="65" t="s">
        <v>360</v>
      </c>
      <c r="W322" s="65"/>
      <c r="X322" s="64"/>
      <c r="Y322" s="67" t="s">
        <v>346</v>
      </c>
      <c r="Z322" s="64"/>
    </row>
    <row r="323" spans="1:26" ht="18" customHeight="1" x14ac:dyDescent="0.3">
      <c r="A323" s="38"/>
      <c r="B323" s="38"/>
      <c r="C323" s="38"/>
      <c r="D323" s="38"/>
      <c r="E323" s="38"/>
      <c r="F323" s="38"/>
      <c r="G323" s="38"/>
      <c r="H323" s="22"/>
      <c r="I323" s="38"/>
      <c r="J323" s="38"/>
      <c r="K323" s="38"/>
      <c r="L323" s="22"/>
      <c r="M323" s="49">
        <v>1643.84</v>
      </c>
      <c r="N323" s="49"/>
      <c r="O323" s="49"/>
      <c r="P323" s="49"/>
      <c r="Q323" s="22"/>
      <c r="R323" s="39">
        <v>1643.84</v>
      </c>
      <c r="S323" s="22"/>
      <c r="T323" s="30">
        <v>0</v>
      </c>
      <c r="U323" s="22"/>
      <c r="V323" s="29">
        <v>0</v>
      </c>
      <c r="W323" s="29"/>
      <c r="X323" s="22"/>
      <c r="Y323" s="22"/>
      <c r="Z323" s="22"/>
    </row>
    <row r="324" spans="1:26" ht="11.25" customHeight="1" x14ac:dyDescent="0.3">
      <c r="A324" s="40" t="s">
        <v>497</v>
      </c>
      <c r="B324" s="40"/>
      <c r="C324" s="40"/>
      <c r="D324" s="40"/>
      <c r="E324" s="40"/>
      <c r="F324" s="40"/>
      <c r="G324" s="40"/>
      <c r="H324" s="40"/>
      <c r="I324" s="40"/>
      <c r="J324" s="40"/>
      <c r="K324" s="50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14"/>
    </row>
    <row r="325" spans="1:26" ht="25.95" customHeight="1" x14ac:dyDescent="0.3">
      <c r="A325" s="38"/>
      <c r="B325" s="38"/>
      <c r="C325" s="10" t="s">
        <v>340</v>
      </c>
      <c r="D325" s="10"/>
      <c r="E325" s="10"/>
      <c r="F325" s="10"/>
      <c r="G325" s="10"/>
      <c r="H325" s="10"/>
      <c r="I325" s="10"/>
      <c r="J325" s="10"/>
      <c r="K325" s="70" t="s">
        <v>341</v>
      </c>
      <c r="L325" s="43" t="s">
        <v>342</v>
      </c>
      <c r="M325" s="43"/>
      <c r="N325" s="43"/>
      <c r="O325" s="43"/>
      <c r="P325" s="43"/>
      <c r="Q325" s="43" t="s">
        <v>343</v>
      </c>
      <c r="R325" s="43"/>
      <c r="S325" s="10" t="s">
        <v>344</v>
      </c>
      <c r="T325" s="10"/>
      <c r="U325" s="43" t="s">
        <v>345</v>
      </c>
      <c r="V325" s="43"/>
      <c r="W325" s="43"/>
      <c r="X325" s="44" t="s">
        <v>346</v>
      </c>
      <c r="Y325" s="44"/>
      <c r="Z325" s="22"/>
    </row>
    <row r="326" spans="1:26" ht="16.05" customHeight="1" x14ac:dyDescent="0.3">
      <c r="A326" s="32">
        <v>1185</v>
      </c>
      <c r="B326" s="32"/>
      <c r="C326" s="32"/>
      <c r="D326" s="32"/>
      <c r="E326" s="32"/>
      <c r="F326" s="32"/>
      <c r="G326" s="32"/>
      <c r="H326" s="71" t="s">
        <v>347</v>
      </c>
      <c r="I326" s="71"/>
      <c r="J326" s="71"/>
      <c r="K326" s="71"/>
      <c r="L326" s="14"/>
      <c r="M326" s="48">
        <v>0</v>
      </c>
      <c r="N326" s="48"/>
      <c r="O326" s="48"/>
      <c r="P326" s="48"/>
      <c r="Q326" s="14"/>
      <c r="R326" s="46">
        <v>4506.5600000000004</v>
      </c>
      <c r="S326" s="14"/>
      <c r="T326" s="46">
        <v>-4506.5600000000004</v>
      </c>
      <c r="U326" s="14"/>
      <c r="V326" s="48">
        <v>0</v>
      </c>
      <c r="W326" s="48"/>
      <c r="X326" s="14"/>
      <c r="Y326" s="14"/>
      <c r="Z326" s="14"/>
    </row>
    <row r="327" spans="1:26" ht="18" customHeight="1" x14ac:dyDescent="0.3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22"/>
      <c r="M327" s="29">
        <v>0</v>
      </c>
      <c r="N327" s="29"/>
      <c r="O327" s="29"/>
      <c r="P327" s="29"/>
      <c r="Q327" s="22"/>
      <c r="R327" s="39">
        <v>4506.5600000000004</v>
      </c>
      <c r="S327" s="22"/>
      <c r="T327" s="39">
        <v>-4506.5600000000004</v>
      </c>
      <c r="U327" s="22"/>
      <c r="V327" s="29">
        <v>0</v>
      </c>
      <c r="W327" s="29"/>
      <c r="X327" s="22"/>
      <c r="Y327" s="22"/>
      <c r="Z327" s="22"/>
    </row>
    <row r="328" spans="1:26" ht="11.25" customHeight="1" x14ac:dyDescent="0.3">
      <c r="A328" s="40" t="s">
        <v>498</v>
      </c>
      <c r="B328" s="40"/>
      <c r="C328" s="40"/>
      <c r="D328" s="40"/>
      <c r="E328" s="40"/>
      <c r="F328" s="40"/>
      <c r="G328" s="40"/>
      <c r="H328" s="40"/>
      <c r="I328" s="40"/>
      <c r="J328" s="40"/>
      <c r="K328" s="40"/>
      <c r="L328" s="50"/>
      <c r="M328" s="41"/>
      <c r="N328" s="41"/>
      <c r="O328" s="41"/>
      <c r="P328" s="41"/>
      <c r="Q328" s="50"/>
      <c r="R328" s="50"/>
      <c r="S328" s="50"/>
      <c r="T328" s="50"/>
      <c r="U328" s="50"/>
      <c r="V328" s="41"/>
      <c r="W328" s="41"/>
      <c r="X328" s="50"/>
      <c r="Y328" s="50"/>
      <c r="Z328" s="14"/>
    </row>
    <row r="329" spans="1:26" ht="25.05" customHeight="1" x14ac:dyDescent="0.3">
      <c r="A329" s="21" t="s">
        <v>340</v>
      </c>
      <c r="B329" s="21"/>
      <c r="C329" s="21"/>
      <c r="D329" s="21"/>
      <c r="E329" s="21"/>
      <c r="F329" s="21"/>
      <c r="G329" s="21"/>
      <c r="H329" s="51" t="s">
        <v>341</v>
      </c>
      <c r="I329" s="51"/>
      <c r="J329" s="51"/>
      <c r="K329" s="51"/>
      <c r="L329" s="22"/>
      <c r="M329" s="24" t="s">
        <v>342</v>
      </c>
      <c r="N329" s="24"/>
      <c r="O329" s="24"/>
      <c r="P329" s="24"/>
      <c r="Q329" s="22"/>
      <c r="R329" s="25" t="s">
        <v>343</v>
      </c>
      <c r="S329" s="22"/>
      <c r="T329" s="25" t="s">
        <v>344</v>
      </c>
      <c r="U329" s="22"/>
      <c r="V329" s="24" t="s">
        <v>345</v>
      </c>
      <c r="W329" s="24"/>
      <c r="X329" s="22"/>
      <c r="Y329" s="52" t="s">
        <v>346</v>
      </c>
      <c r="Z329" s="22"/>
    </row>
    <row r="330" spans="1:26" ht="13.95" customHeight="1" x14ac:dyDescent="0.3">
      <c r="A330" s="32">
        <v>1190</v>
      </c>
      <c r="B330" s="32"/>
      <c r="C330" s="32"/>
      <c r="D330" s="32"/>
      <c r="E330" s="32"/>
      <c r="F330" s="32"/>
      <c r="G330" s="32"/>
      <c r="H330" s="71" t="s">
        <v>347</v>
      </c>
      <c r="I330" s="71"/>
      <c r="J330" s="71"/>
      <c r="K330" s="71"/>
      <c r="L330" s="14"/>
      <c r="M330" s="29">
        <v>0</v>
      </c>
      <c r="N330" s="29"/>
      <c r="O330" s="29"/>
      <c r="P330" s="29"/>
      <c r="Q330" s="14"/>
      <c r="R330" s="39">
        <v>2046.42</v>
      </c>
      <c r="S330" s="14"/>
      <c r="T330" s="39">
        <v>-2046.42</v>
      </c>
      <c r="U330" s="14"/>
      <c r="V330" s="29">
        <v>0</v>
      </c>
      <c r="W330" s="29"/>
      <c r="X330" s="14"/>
      <c r="Y330" s="14"/>
      <c r="Z330" s="14"/>
    </row>
    <row r="331" spans="1:26" ht="12" customHeight="1" x14ac:dyDescent="0.3">
      <c r="A331" s="32">
        <v>1195</v>
      </c>
      <c r="B331" s="32"/>
      <c r="C331" s="32"/>
      <c r="D331" s="32"/>
      <c r="E331" s="32"/>
      <c r="F331" s="32"/>
      <c r="G331" s="32"/>
      <c r="H331" s="71" t="s">
        <v>347</v>
      </c>
      <c r="I331" s="71"/>
      <c r="J331" s="71"/>
      <c r="K331" s="71"/>
      <c r="L331" s="14"/>
      <c r="M331" s="34">
        <v>0</v>
      </c>
      <c r="N331" s="34"/>
      <c r="O331" s="34"/>
      <c r="P331" s="34"/>
      <c r="Q331" s="14"/>
      <c r="R331" s="35">
        <v>34.24</v>
      </c>
      <c r="S331" s="14"/>
      <c r="T331" s="35">
        <v>-34.24</v>
      </c>
      <c r="U331" s="14"/>
      <c r="V331" s="34">
        <v>0</v>
      </c>
      <c r="W331" s="34"/>
      <c r="X331" s="14"/>
      <c r="Y331" s="14"/>
      <c r="Z331" s="14"/>
    </row>
    <row r="332" spans="1:26" ht="13.95" customHeight="1" x14ac:dyDescent="0.3">
      <c r="A332" s="32">
        <v>1270</v>
      </c>
      <c r="B332" s="32"/>
      <c r="C332" s="32"/>
      <c r="D332" s="32"/>
      <c r="E332" s="32"/>
      <c r="F332" s="32"/>
      <c r="G332" s="32"/>
      <c r="H332" s="71" t="s">
        <v>347</v>
      </c>
      <c r="I332" s="71"/>
      <c r="J332" s="71"/>
      <c r="K332" s="71"/>
      <c r="L332" s="14"/>
      <c r="M332" s="36">
        <v>0</v>
      </c>
      <c r="N332" s="36"/>
      <c r="O332" s="36"/>
      <c r="P332" s="36"/>
      <c r="Q332" s="14"/>
      <c r="R332" s="37">
        <v>22.46</v>
      </c>
      <c r="S332" s="14"/>
      <c r="T332" s="37">
        <v>-22.46</v>
      </c>
      <c r="U332" s="14"/>
      <c r="V332" s="36">
        <v>0</v>
      </c>
      <c r="W332" s="36"/>
      <c r="X332" s="14"/>
      <c r="Y332" s="14"/>
      <c r="Z332" s="14"/>
    </row>
    <row r="333" spans="1:26" ht="11.25" customHeight="1" x14ac:dyDescent="0.3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4"/>
      <c r="M333" s="29">
        <v>0</v>
      </c>
      <c r="N333" s="29"/>
      <c r="O333" s="29"/>
      <c r="P333" s="29"/>
      <c r="Q333" s="14"/>
      <c r="R333" s="39">
        <v>2103.12</v>
      </c>
      <c r="S333" s="14"/>
      <c r="T333" s="39">
        <v>-2103.12</v>
      </c>
      <c r="U333" s="14"/>
      <c r="V333" s="29">
        <v>0</v>
      </c>
      <c r="W333" s="29"/>
      <c r="X333" s="14"/>
      <c r="Y333" s="14"/>
      <c r="Z333" s="14"/>
    </row>
    <row r="334" spans="1:26" ht="11.25" customHeight="1" x14ac:dyDescent="0.3">
      <c r="A334" s="40" t="s">
        <v>499</v>
      </c>
      <c r="B334" s="40"/>
      <c r="C334" s="40"/>
      <c r="D334" s="40"/>
      <c r="E334" s="40"/>
      <c r="F334" s="40"/>
      <c r="G334" s="20" t="s">
        <v>500</v>
      </c>
      <c r="H334" s="20"/>
      <c r="I334" s="20"/>
      <c r="J334" s="20"/>
      <c r="K334" s="20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</row>
    <row r="335" spans="1:26" ht="25.05" customHeight="1" x14ac:dyDescent="0.3">
      <c r="A335" s="21" t="s">
        <v>340</v>
      </c>
      <c r="B335" s="21"/>
      <c r="C335" s="21"/>
      <c r="D335" s="21"/>
      <c r="E335" s="21"/>
      <c r="F335" s="21"/>
      <c r="G335" s="51" t="s">
        <v>341</v>
      </c>
      <c r="H335" s="51"/>
      <c r="I335" s="51"/>
      <c r="J335" s="51"/>
      <c r="K335" s="51"/>
      <c r="L335" s="22"/>
      <c r="M335" s="24" t="s">
        <v>342</v>
      </c>
      <c r="N335" s="24"/>
      <c r="O335" s="24"/>
      <c r="P335" s="24"/>
      <c r="Q335" s="22"/>
      <c r="R335" s="25" t="s">
        <v>343</v>
      </c>
      <c r="S335" s="22"/>
      <c r="T335" s="25" t="s">
        <v>344</v>
      </c>
      <c r="U335" s="22"/>
      <c r="V335" s="24" t="s">
        <v>345</v>
      </c>
      <c r="W335" s="24"/>
      <c r="X335" s="22"/>
      <c r="Y335" s="52" t="s">
        <v>346</v>
      </c>
    </row>
    <row r="336" spans="1:26" ht="13.95" customHeight="1" x14ac:dyDescent="0.3">
      <c r="A336" s="32">
        <v>1191</v>
      </c>
      <c r="B336" s="32"/>
      <c r="C336" s="32"/>
      <c r="D336" s="32"/>
      <c r="E336" s="32"/>
      <c r="F336" s="32"/>
      <c r="G336" s="71" t="s">
        <v>347</v>
      </c>
      <c r="H336" s="71"/>
      <c r="I336" s="71"/>
      <c r="J336" s="71"/>
      <c r="K336" s="71"/>
      <c r="L336" s="14"/>
      <c r="M336" s="77">
        <v>1643.84</v>
      </c>
      <c r="N336" s="77"/>
      <c r="O336" s="77"/>
      <c r="P336" s="77"/>
      <c r="Q336" s="14"/>
      <c r="R336" s="39">
        <v>1643.84</v>
      </c>
      <c r="S336" s="14"/>
      <c r="T336" s="30">
        <v>0</v>
      </c>
      <c r="U336" s="14"/>
      <c r="V336" s="29">
        <v>0</v>
      </c>
      <c r="W336" s="29"/>
      <c r="X336" s="14"/>
      <c r="Y336" s="14"/>
    </row>
    <row r="337" spans="1:25" ht="13.95" customHeight="1" x14ac:dyDescent="0.3">
      <c r="A337" s="32">
        <v>1215</v>
      </c>
      <c r="B337" s="32"/>
      <c r="C337" s="32"/>
      <c r="D337" s="32"/>
      <c r="E337" s="32"/>
      <c r="F337" s="32"/>
      <c r="G337" s="71" t="s">
        <v>347</v>
      </c>
      <c r="H337" s="71"/>
      <c r="I337" s="71"/>
      <c r="J337" s="71"/>
      <c r="K337" s="71"/>
      <c r="L337" s="14"/>
      <c r="M337" s="36">
        <v>230.14</v>
      </c>
      <c r="N337" s="36"/>
      <c r="O337" s="36"/>
      <c r="P337" s="36"/>
      <c r="Q337" s="14"/>
      <c r="R337" s="37">
        <v>230.14</v>
      </c>
      <c r="S337" s="14"/>
      <c r="T337" s="37">
        <v>0</v>
      </c>
      <c r="U337" s="14"/>
      <c r="V337" s="36">
        <v>0</v>
      </c>
      <c r="W337" s="36"/>
      <c r="X337" s="14"/>
      <c r="Y337" s="14"/>
    </row>
    <row r="338" spans="1:25" ht="18" customHeight="1" x14ac:dyDescent="0.3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22"/>
      <c r="M338" s="77">
        <v>1873.98</v>
      </c>
      <c r="N338" s="77"/>
      <c r="O338" s="77"/>
      <c r="P338" s="77"/>
      <c r="Q338" s="22"/>
      <c r="R338" s="39">
        <v>1873.98</v>
      </c>
      <c r="S338" s="22"/>
      <c r="T338" s="30">
        <v>0</v>
      </c>
      <c r="U338" s="22"/>
      <c r="V338" s="29">
        <v>0</v>
      </c>
      <c r="W338" s="29"/>
      <c r="X338" s="22"/>
      <c r="Y338" s="22"/>
    </row>
    <row r="339" spans="1:25" ht="12" customHeight="1" x14ac:dyDescent="0.3">
      <c r="A339" s="40" t="s">
        <v>501</v>
      </c>
      <c r="B339" s="40"/>
      <c r="C339" s="40"/>
      <c r="D339" s="40"/>
      <c r="E339" s="40"/>
      <c r="F339" s="40"/>
      <c r="G339" s="20" t="s">
        <v>502</v>
      </c>
      <c r="H339" s="20"/>
      <c r="I339" s="20"/>
      <c r="J339" s="20"/>
      <c r="K339" s="20"/>
      <c r="L339" s="50"/>
      <c r="M339" s="41"/>
      <c r="N339" s="41"/>
      <c r="O339" s="41"/>
      <c r="P339" s="41"/>
      <c r="Q339" s="50"/>
      <c r="R339" s="50"/>
      <c r="S339" s="50"/>
      <c r="T339" s="50"/>
      <c r="U339" s="50"/>
      <c r="V339" s="41"/>
      <c r="W339" s="41"/>
      <c r="X339" s="50"/>
      <c r="Y339" s="50"/>
    </row>
    <row r="340" spans="1:25" ht="25.05" customHeight="1" x14ac:dyDescent="0.3">
      <c r="A340" s="21" t="s">
        <v>340</v>
      </c>
      <c r="B340" s="21"/>
      <c r="C340" s="21"/>
      <c r="D340" s="21"/>
      <c r="E340" s="21"/>
      <c r="F340" s="21"/>
      <c r="G340" s="51" t="s">
        <v>341</v>
      </c>
      <c r="H340" s="51"/>
      <c r="I340" s="51"/>
      <c r="J340" s="51"/>
      <c r="K340" s="51"/>
      <c r="L340" s="22"/>
      <c r="M340" s="24" t="s">
        <v>342</v>
      </c>
      <c r="N340" s="24"/>
      <c r="O340" s="24"/>
      <c r="P340" s="24"/>
      <c r="Q340" s="22"/>
      <c r="R340" s="25" t="s">
        <v>343</v>
      </c>
      <c r="S340" s="22"/>
      <c r="T340" s="25" t="s">
        <v>344</v>
      </c>
      <c r="U340" s="22"/>
      <c r="V340" s="24" t="s">
        <v>345</v>
      </c>
      <c r="W340" s="24"/>
      <c r="X340" s="22"/>
      <c r="Y340" s="52" t="s">
        <v>346</v>
      </c>
    </row>
    <row r="341" spans="1:25" ht="16.05" customHeight="1" x14ac:dyDescent="0.3">
      <c r="A341" s="32">
        <v>1196</v>
      </c>
      <c r="B341" s="32"/>
      <c r="C341" s="32"/>
      <c r="D341" s="32"/>
      <c r="E341" s="32"/>
      <c r="F341" s="32"/>
      <c r="G341" s="71" t="s">
        <v>347</v>
      </c>
      <c r="H341" s="71"/>
      <c r="I341" s="71"/>
      <c r="J341" s="71"/>
      <c r="K341" s="71"/>
      <c r="L341" s="14"/>
      <c r="M341" s="48">
        <v>0</v>
      </c>
      <c r="N341" s="48"/>
      <c r="O341" s="48"/>
      <c r="P341" s="48"/>
      <c r="Q341" s="14"/>
      <c r="R341" s="47">
        <v>869.39</v>
      </c>
      <c r="S341" s="14"/>
      <c r="T341" s="47">
        <v>-869.39</v>
      </c>
      <c r="U341" s="14"/>
      <c r="V341" s="48">
        <v>0</v>
      </c>
      <c r="W341" s="48"/>
      <c r="X341" s="14"/>
      <c r="Y341" s="14"/>
    </row>
    <row r="342" spans="1:25" ht="18" customHeight="1" x14ac:dyDescent="0.3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22"/>
      <c r="M342" s="29">
        <v>0</v>
      </c>
      <c r="N342" s="29"/>
      <c r="O342" s="29"/>
      <c r="P342" s="29"/>
      <c r="Q342" s="22"/>
      <c r="R342" s="30">
        <v>869.39</v>
      </c>
      <c r="S342" s="22"/>
      <c r="T342" s="30">
        <v>-869.39</v>
      </c>
      <c r="U342" s="22"/>
      <c r="V342" s="29">
        <v>0</v>
      </c>
      <c r="W342" s="29"/>
      <c r="X342" s="22"/>
      <c r="Y342" s="22"/>
    </row>
    <row r="343" spans="1:25" ht="11.25" customHeight="1" x14ac:dyDescent="0.3">
      <c r="A343" s="90">
        <v>1106</v>
      </c>
      <c r="B343" s="90"/>
      <c r="C343" s="68" t="s">
        <v>503</v>
      </c>
      <c r="D343" s="68"/>
      <c r="E343" s="68"/>
      <c r="F343" s="68"/>
      <c r="G343" s="68"/>
      <c r="H343" s="68"/>
      <c r="I343" s="68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</row>
    <row r="344" spans="1:25" ht="25.95" customHeight="1" x14ac:dyDescent="0.3">
      <c r="A344" s="38"/>
      <c r="B344" s="38"/>
      <c r="C344" s="10" t="s">
        <v>340</v>
      </c>
      <c r="D344" s="10"/>
      <c r="E344" s="10"/>
      <c r="F344" s="10"/>
      <c r="G344" s="10"/>
      <c r="H344" s="10"/>
      <c r="I344" s="10"/>
      <c r="J344" s="42" t="s">
        <v>341</v>
      </c>
      <c r="K344" s="42"/>
      <c r="L344" s="43" t="s">
        <v>342</v>
      </c>
      <c r="M344" s="43"/>
      <c r="N344" s="43"/>
      <c r="O344" s="43"/>
      <c r="P344" s="43"/>
      <c r="Q344" s="43" t="s">
        <v>343</v>
      </c>
      <c r="R344" s="43"/>
      <c r="S344" s="10" t="s">
        <v>344</v>
      </c>
      <c r="T344" s="10"/>
      <c r="U344" s="43" t="s">
        <v>345</v>
      </c>
      <c r="V344" s="43"/>
      <c r="W344" s="43"/>
      <c r="X344" s="44" t="s">
        <v>346</v>
      </c>
      <c r="Y344" s="44"/>
    </row>
    <row r="345" spans="1:25" ht="15" customHeight="1" x14ac:dyDescent="0.3">
      <c r="A345" s="11" t="s">
        <v>504</v>
      </c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4"/>
      <c r="R345" s="47">
        <v>764.38</v>
      </c>
      <c r="S345" s="14"/>
      <c r="T345" s="47">
        <v>0</v>
      </c>
      <c r="U345" s="14"/>
      <c r="V345" s="48">
        <v>0</v>
      </c>
      <c r="W345" s="48"/>
      <c r="X345" s="14"/>
      <c r="Y345" s="14"/>
    </row>
    <row r="346" spans="1:25" ht="18" customHeight="1" x14ac:dyDescent="0.3">
      <c r="A346" s="34">
        <v>764.38</v>
      </c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22"/>
      <c r="R346" s="30">
        <v>764.38</v>
      </c>
      <c r="S346" s="22"/>
      <c r="T346" s="30">
        <v>0</v>
      </c>
      <c r="U346" s="22"/>
      <c r="V346" s="29">
        <v>0</v>
      </c>
      <c r="W346" s="29"/>
      <c r="X346" s="22"/>
      <c r="Y346" s="22"/>
    </row>
    <row r="347" spans="1:25" ht="11.25" customHeight="1" x14ac:dyDescent="0.3">
      <c r="A347" s="40" t="s">
        <v>505</v>
      </c>
      <c r="B347" s="40"/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50"/>
      <c r="R347" s="50"/>
      <c r="S347" s="50"/>
      <c r="T347" s="50"/>
      <c r="U347" s="50"/>
      <c r="V347" s="41"/>
      <c r="W347" s="41"/>
      <c r="X347" s="50"/>
      <c r="Y347" s="50"/>
    </row>
    <row r="348" spans="1:25" ht="25.95" customHeight="1" x14ac:dyDescent="0.3">
      <c r="A348" s="74" t="s">
        <v>380</v>
      </c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22"/>
      <c r="R348" s="25" t="s">
        <v>343</v>
      </c>
      <c r="S348" s="22"/>
      <c r="T348" s="25" t="s">
        <v>344</v>
      </c>
      <c r="U348" s="22"/>
      <c r="V348" s="24" t="s">
        <v>345</v>
      </c>
      <c r="W348" s="24"/>
      <c r="X348" s="22"/>
      <c r="Y348" s="52" t="s">
        <v>346</v>
      </c>
    </row>
    <row r="349" spans="1:25" ht="13.05" customHeight="1" x14ac:dyDescent="0.3">
      <c r="A349" s="11" t="s">
        <v>506</v>
      </c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4"/>
      <c r="R349" s="39">
        <v>1146.58</v>
      </c>
      <c r="S349" s="14"/>
      <c r="T349" s="30">
        <v>0</v>
      </c>
      <c r="U349" s="14"/>
      <c r="V349" s="29">
        <v>0</v>
      </c>
      <c r="W349" s="29"/>
      <c r="X349" s="14"/>
      <c r="Y349" s="14"/>
    </row>
    <row r="350" spans="1:25" ht="12" customHeight="1" x14ac:dyDescent="0.3">
      <c r="A350" s="11" t="s">
        <v>507</v>
      </c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4"/>
      <c r="R350" s="35">
        <v>382.19</v>
      </c>
      <c r="S350" s="14"/>
      <c r="T350" s="35">
        <v>0</v>
      </c>
      <c r="U350" s="14"/>
      <c r="V350" s="34">
        <v>0</v>
      </c>
      <c r="W350" s="34"/>
      <c r="X350" s="14"/>
      <c r="Y350" s="14"/>
    </row>
    <row r="351" spans="1:25" ht="15" customHeight="1" x14ac:dyDescent="0.3">
      <c r="A351" s="11" t="s">
        <v>508</v>
      </c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4"/>
      <c r="R351" s="37">
        <v>382.19</v>
      </c>
      <c r="S351" s="14"/>
      <c r="T351" s="37">
        <v>0</v>
      </c>
      <c r="U351" s="14"/>
      <c r="V351" s="36">
        <v>0</v>
      </c>
      <c r="W351" s="36"/>
      <c r="X351" s="14"/>
      <c r="Y351" s="14"/>
    </row>
    <row r="352" spans="1:25" ht="18" customHeight="1" x14ac:dyDescent="0.3">
      <c r="A352" s="80">
        <v>1910.96</v>
      </c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22"/>
      <c r="R352" s="39">
        <v>1910.96</v>
      </c>
      <c r="S352" s="22"/>
      <c r="T352" s="30">
        <v>0</v>
      </c>
      <c r="U352" s="22"/>
      <c r="V352" s="29">
        <v>0</v>
      </c>
      <c r="W352" s="29"/>
      <c r="X352" s="22"/>
      <c r="Y352" s="22"/>
    </row>
    <row r="353" spans="1:25" ht="11.25" customHeight="1" x14ac:dyDescent="0.3">
      <c r="A353" s="40" t="s">
        <v>509</v>
      </c>
      <c r="B353" s="40"/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50"/>
      <c r="R353" s="50"/>
      <c r="S353" s="50"/>
      <c r="T353" s="50"/>
      <c r="U353" s="50"/>
      <c r="V353" s="41"/>
      <c r="W353" s="41"/>
      <c r="X353" s="50"/>
      <c r="Y353" s="50"/>
    </row>
    <row r="354" spans="1:25" ht="25.05" customHeight="1" x14ac:dyDescent="0.3">
      <c r="A354" s="74" t="s">
        <v>380</v>
      </c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22"/>
      <c r="R354" s="25" t="s">
        <v>343</v>
      </c>
      <c r="S354" s="22"/>
      <c r="T354" s="25" t="s">
        <v>344</v>
      </c>
      <c r="U354" s="22"/>
      <c r="V354" s="24" t="s">
        <v>345</v>
      </c>
      <c r="W354" s="24"/>
      <c r="X354" s="22"/>
      <c r="Y354" s="52" t="s">
        <v>346</v>
      </c>
    </row>
    <row r="355" spans="1:25" ht="16.05" customHeight="1" x14ac:dyDescent="0.3">
      <c r="A355" s="11" t="s">
        <v>510</v>
      </c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4"/>
      <c r="R355" s="47">
        <v>487.27</v>
      </c>
      <c r="S355" s="14"/>
      <c r="T355" s="47">
        <v>-487.27</v>
      </c>
      <c r="U355" s="14"/>
      <c r="V355" s="48">
        <v>0</v>
      </c>
      <c r="W355" s="48"/>
      <c r="X355" s="14"/>
      <c r="Y355" s="14"/>
    </row>
    <row r="356" spans="1:25" ht="18" customHeight="1" x14ac:dyDescent="0.3">
      <c r="A356" s="34">
        <v>0</v>
      </c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22"/>
      <c r="R356" s="30">
        <v>487.27</v>
      </c>
      <c r="S356" s="22"/>
      <c r="T356" s="30">
        <v>-487.27</v>
      </c>
      <c r="U356" s="22"/>
      <c r="V356" s="29">
        <v>0</v>
      </c>
      <c r="W356" s="29"/>
      <c r="X356" s="22"/>
      <c r="Y356" s="22"/>
    </row>
    <row r="357" spans="1:25" ht="11.25" customHeight="1" x14ac:dyDescent="0.3">
      <c r="A357" s="40" t="s">
        <v>511</v>
      </c>
      <c r="B357" s="40"/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50"/>
      <c r="R357" s="50"/>
      <c r="S357" s="50"/>
      <c r="T357" s="50"/>
      <c r="U357" s="50"/>
      <c r="V357" s="41"/>
      <c r="W357" s="41"/>
      <c r="X357" s="50"/>
      <c r="Y357" s="50"/>
    </row>
    <row r="358" spans="1:25" ht="25.95" customHeight="1" x14ac:dyDescent="0.3">
      <c r="A358" s="74" t="s">
        <v>380</v>
      </c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22"/>
      <c r="R358" s="25" t="s">
        <v>343</v>
      </c>
      <c r="S358" s="22"/>
      <c r="T358" s="25" t="s">
        <v>344</v>
      </c>
      <c r="U358" s="22"/>
      <c r="V358" s="24" t="s">
        <v>345</v>
      </c>
      <c r="W358" s="24"/>
      <c r="X358" s="22"/>
      <c r="Y358" s="52" t="s">
        <v>346</v>
      </c>
    </row>
    <row r="359" spans="1:25" ht="16.05" customHeight="1" x14ac:dyDescent="0.3">
      <c r="A359" s="11" t="s">
        <v>512</v>
      </c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4"/>
      <c r="R359" s="47">
        <v>408.03</v>
      </c>
      <c r="S359" s="14"/>
      <c r="T359" s="47">
        <v>-408.03</v>
      </c>
      <c r="U359" s="14"/>
      <c r="V359" s="48">
        <v>0</v>
      </c>
      <c r="W359" s="48"/>
      <c r="X359" s="14"/>
      <c r="Y359" s="14"/>
    </row>
    <row r="360" spans="1:25" ht="18" customHeight="1" x14ac:dyDescent="0.3">
      <c r="A360" s="34">
        <v>0</v>
      </c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22"/>
      <c r="R360" s="30">
        <v>408.03</v>
      </c>
      <c r="S360" s="22"/>
      <c r="T360" s="30">
        <v>-408.03</v>
      </c>
      <c r="U360" s="22"/>
      <c r="V360" s="29">
        <v>0</v>
      </c>
      <c r="W360" s="29"/>
      <c r="X360" s="22"/>
      <c r="Y360" s="22"/>
    </row>
    <row r="361" spans="1:25" ht="11.25" customHeight="1" x14ac:dyDescent="0.3">
      <c r="A361" s="40" t="s">
        <v>513</v>
      </c>
      <c r="B361" s="40"/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50"/>
      <c r="R361" s="50"/>
      <c r="S361" s="50"/>
      <c r="T361" s="50"/>
      <c r="U361" s="50"/>
      <c r="V361" s="41"/>
      <c r="W361" s="41"/>
      <c r="X361" s="50"/>
      <c r="Y361" s="50"/>
    </row>
    <row r="362" spans="1:25" ht="25.05" customHeight="1" x14ac:dyDescent="0.3">
      <c r="A362" s="74" t="s">
        <v>380</v>
      </c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22"/>
      <c r="R362" s="25" t="s">
        <v>343</v>
      </c>
      <c r="S362" s="22"/>
      <c r="T362" s="25" t="s">
        <v>344</v>
      </c>
      <c r="U362" s="22"/>
      <c r="V362" s="24" t="s">
        <v>345</v>
      </c>
      <c r="W362" s="24"/>
      <c r="X362" s="22"/>
      <c r="Y362" s="52" t="s">
        <v>346</v>
      </c>
    </row>
    <row r="363" spans="1:25" ht="16.05" customHeight="1" x14ac:dyDescent="0.3">
      <c r="A363" s="11" t="s">
        <v>514</v>
      </c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4"/>
      <c r="R363" s="46">
        <v>1972.6</v>
      </c>
      <c r="S363" s="14"/>
      <c r="T363" s="47">
        <v>0</v>
      </c>
      <c r="U363" s="14"/>
      <c r="V363" s="48">
        <v>0</v>
      </c>
      <c r="W363" s="48"/>
      <c r="X363" s="14"/>
      <c r="Y363" s="14"/>
    </row>
    <row r="364" spans="1:25" ht="18" customHeight="1" x14ac:dyDescent="0.3">
      <c r="A364" s="80">
        <v>1972.6</v>
      </c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22"/>
      <c r="R364" s="39">
        <v>1972.6</v>
      </c>
      <c r="S364" s="22"/>
      <c r="T364" s="30">
        <v>0</v>
      </c>
      <c r="U364" s="22"/>
      <c r="V364" s="29">
        <v>0</v>
      </c>
      <c r="W364" s="29"/>
      <c r="X364" s="22"/>
      <c r="Y364" s="22"/>
    </row>
    <row r="365" spans="1:25" ht="11.25" customHeight="1" x14ac:dyDescent="0.3">
      <c r="A365" s="40" t="s">
        <v>515</v>
      </c>
      <c r="B365" s="40"/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50"/>
      <c r="R365" s="50"/>
      <c r="S365" s="50"/>
      <c r="T365" s="50"/>
      <c r="U365" s="50"/>
      <c r="V365" s="41"/>
      <c r="W365" s="41"/>
      <c r="X365" s="50"/>
      <c r="Y365" s="50"/>
    </row>
    <row r="366" spans="1:25" ht="25.95" customHeight="1" x14ac:dyDescent="0.3">
      <c r="A366" s="74" t="s">
        <v>380</v>
      </c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22"/>
      <c r="R366" s="25" t="s">
        <v>343</v>
      </c>
      <c r="S366" s="22"/>
      <c r="T366" s="25" t="s">
        <v>344</v>
      </c>
      <c r="U366" s="22"/>
      <c r="V366" s="24" t="s">
        <v>345</v>
      </c>
      <c r="W366" s="24"/>
      <c r="X366" s="22"/>
      <c r="Y366" s="52" t="s">
        <v>346</v>
      </c>
    </row>
    <row r="367" spans="1:25" ht="16.05" customHeight="1" x14ac:dyDescent="0.3">
      <c r="A367" s="11" t="s">
        <v>516</v>
      </c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4"/>
      <c r="R367" s="46">
        <v>1315.07</v>
      </c>
      <c r="S367" s="14"/>
      <c r="T367" s="47">
        <v>0</v>
      </c>
      <c r="U367" s="14"/>
      <c r="V367" s="48">
        <v>0</v>
      </c>
      <c r="W367" s="48"/>
      <c r="X367" s="14"/>
      <c r="Y367" s="14"/>
    </row>
    <row r="368" spans="1:25" ht="18" customHeight="1" x14ac:dyDescent="0.3">
      <c r="A368" s="80">
        <v>1315.07</v>
      </c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22"/>
      <c r="R368" s="39">
        <v>1315.07</v>
      </c>
      <c r="S368" s="22"/>
      <c r="T368" s="30">
        <v>0</v>
      </c>
      <c r="U368" s="22"/>
      <c r="V368" s="29">
        <v>0</v>
      </c>
      <c r="W368" s="29"/>
      <c r="X368" s="22"/>
      <c r="Y368" s="22"/>
    </row>
    <row r="369" spans="1:26" ht="11.25" customHeight="1" x14ac:dyDescent="0.3">
      <c r="A369" s="90">
        <v>1114</v>
      </c>
      <c r="B369" s="90"/>
      <c r="C369" s="68" t="s">
        <v>517</v>
      </c>
      <c r="D369" s="68"/>
      <c r="E369" s="68"/>
      <c r="F369" s="68"/>
      <c r="G369" s="68"/>
      <c r="H369" s="68"/>
      <c r="I369" s="68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</row>
    <row r="370" spans="1:26" ht="25.95" customHeight="1" x14ac:dyDescent="0.3">
      <c r="A370" s="38"/>
      <c r="B370" s="38"/>
      <c r="C370" s="10" t="s">
        <v>340</v>
      </c>
      <c r="D370" s="10"/>
      <c r="E370" s="10"/>
      <c r="F370" s="10"/>
      <c r="G370" s="10"/>
      <c r="H370" s="10"/>
      <c r="I370" s="10"/>
      <c r="J370" s="42" t="s">
        <v>341</v>
      </c>
      <c r="K370" s="42"/>
      <c r="L370" s="43" t="s">
        <v>342</v>
      </c>
      <c r="M370" s="43"/>
      <c r="N370" s="43"/>
      <c r="O370" s="43"/>
      <c r="P370" s="43"/>
      <c r="Q370" s="43" t="s">
        <v>343</v>
      </c>
      <c r="R370" s="43"/>
      <c r="S370" s="10" t="s">
        <v>344</v>
      </c>
      <c r="T370" s="10"/>
      <c r="U370" s="43" t="s">
        <v>345</v>
      </c>
      <c r="V370" s="43"/>
      <c r="W370" s="43"/>
      <c r="X370" s="44" t="s">
        <v>346</v>
      </c>
      <c r="Y370" s="44"/>
    </row>
    <row r="371" spans="1:26" ht="15" customHeight="1" x14ac:dyDescent="0.3">
      <c r="A371" s="32">
        <v>1218</v>
      </c>
      <c r="B371" s="32"/>
      <c r="C371" s="32"/>
      <c r="D371" s="32"/>
      <c r="E371" s="32"/>
      <c r="F371" s="32"/>
      <c r="G371" s="32"/>
      <c r="H371" s="14"/>
      <c r="I371" s="28" t="s">
        <v>347</v>
      </c>
      <c r="J371" s="28"/>
      <c r="K371" s="28"/>
      <c r="L371" s="14"/>
      <c r="M371" s="76">
        <v>1528.77</v>
      </c>
      <c r="N371" s="76"/>
      <c r="O371" s="76"/>
      <c r="P371" s="76"/>
      <c r="Q371" s="14"/>
      <c r="R371" s="46">
        <v>1528.77</v>
      </c>
      <c r="S371" s="14"/>
      <c r="T371" s="47">
        <v>0</v>
      </c>
      <c r="U371" s="14"/>
      <c r="V371" s="48">
        <v>0</v>
      </c>
      <c r="W371" s="48"/>
      <c r="X371" s="14"/>
      <c r="Y371" s="31"/>
    </row>
    <row r="372" spans="1:26" ht="11.25" customHeight="1" x14ac:dyDescent="0.3">
      <c r="A372" s="18"/>
      <c r="B372" s="18"/>
      <c r="C372" s="18"/>
      <c r="D372" s="18"/>
      <c r="E372" s="18"/>
      <c r="F372" s="18"/>
      <c r="G372" s="18"/>
      <c r="H372" s="14"/>
      <c r="I372" s="18"/>
      <c r="J372" s="18"/>
      <c r="K372" s="18"/>
      <c r="L372" s="14"/>
      <c r="M372" s="77">
        <v>1528.77</v>
      </c>
      <c r="N372" s="77"/>
      <c r="O372" s="77"/>
      <c r="P372" s="77"/>
      <c r="Q372" s="14"/>
      <c r="R372" s="39">
        <v>1528.77</v>
      </c>
      <c r="S372" s="14"/>
      <c r="T372" s="30">
        <v>0</v>
      </c>
      <c r="U372" s="14"/>
      <c r="V372" s="29">
        <v>0</v>
      </c>
      <c r="W372" s="29"/>
      <c r="X372" s="14"/>
      <c r="Y372" s="14"/>
    </row>
    <row r="373" spans="1:26" ht="11.25" customHeight="1" x14ac:dyDescent="0.3">
      <c r="A373" s="14"/>
      <c r="B373" s="20" t="s">
        <v>518</v>
      </c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</row>
    <row r="374" spans="1:26" ht="6" customHeight="1" x14ac:dyDescent="0.3">
      <c r="A374" s="14"/>
      <c r="B374" s="14"/>
      <c r="C374" s="18"/>
      <c r="D374" s="18"/>
      <c r="E374" s="18"/>
      <c r="F374" s="18"/>
      <c r="G374" s="18"/>
      <c r="H374" s="14"/>
      <c r="I374" s="14"/>
      <c r="J374" s="18"/>
      <c r="K374" s="18"/>
      <c r="L374" s="14"/>
      <c r="M374" s="18"/>
      <c r="N374" s="18"/>
      <c r="O374" s="18"/>
      <c r="P374" s="18"/>
      <c r="Q374" s="14"/>
      <c r="R374" s="14"/>
      <c r="S374" s="14"/>
      <c r="T374" s="14"/>
      <c r="U374" s="14"/>
      <c r="V374" s="18"/>
      <c r="W374" s="18"/>
      <c r="X374" s="14"/>
      <c r="Y374" s="14"/>
      <c r="Z374" s="14"/>
    </row>
    <row r="375" spans="1:26" ht="35.549999999999997" customHeight="1" x14ac:dyDescent="0.3">
      <c r="A375" s="63" t="s">
        <v>519</v>
      </c>
      <c r="B375" s="63"/>
      <c r="C375" s="63"/>
      <c r="D375" s="63"/>
      <c r="E375" s="63"/>
      <c r="F375" s="63"/>
      <c r="G375" s="63"/>
      <c r="H375" s="64"/>
      <c r="I375" s="63" t="s">
        <v>356</v>
      </c>
      <c r="J375" s="63"/>
      <c r="K375" s="63"/>
      <c r="L375" s="64"/>
      <c r="M375" s="65" t="s">
        <v>520</v>
      </c>
      <c r="N375" s="65"/>
      <c r="O375" s="65"/>
      <c r="P375" s="65"/>
      <c r="Q375" s="64"/>
      <c r="R375" s="66" t="s">
        <v>521</v>
      </c>
      <c r="S375" s="64"/>
      <c r="T375" s="66" t="s">
        <v>359</v>
      </c>
      <c r="U375" s="64"/>
      <c r="V375" s="65" t="s">
        <v>360</v>
      </c>
      <c r="W375" s="65"/>
      <c r="X375" s="64"/>
      <c r="Y375" s="67" t="s">
        <v>346</v>
      </c>
      <c r="Z375" s="64"/>
    </row>
    <row r="376" spans="1:26" ht="18" customHeight="1" x14ac:dyDescent="0.3">
      <c r="A376" s="38"/>
      <c r="B376" s="38"/>
      <c r="C376" s="38"/>
      <c r="D376" s="38"/>
      <c r="E376" s="38"/>
      <c r="F376" s="38"/>
      <c r="G376" s="38"/>
      <c r="H376" s="22"/>
      <c r="I376" s="38"/>
      <c r="J376" s="38"/>
      <c r="K376" s="38"/>
      <c r="L376" s="22"/>
      <c r="M376" s="49">
        <v>2876.71</v>
      </c>
      <c r="N376" s="49"/>
      <c r="O376" s="49"/>
      <c r="P376" s="49"/>
      <c r="Q376" s="22"/>
      <c r="R376" s="39">
        <v>2876.71</v>
      </c>
      <c r="S376" s="22"/>
      <c r="T376" s="30">
        <v>0</v>
      </c>
      <c r="U376" s="22"/>
      <c r="V376" s="29">
        <v>0</v>
      </c>
      <c r="W376" s="29"/>
      <c r="X376" s="22"/>
      <c r="Y376" s="22"/>
      <c r="Z376" s="22"/>
    </row>
    <row r="377" spans="1:26" ht="11.25" customHeight="1" x14ac:dyDescent="0.3">
      <c r="A377" s="40" t="s">
        <v>522</v>
      </c>
      <c r="B377" s="40"/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20" t="s">
        <v>368</v>
      </c>
      <c r="P377" s="20"/>
      <c r="Q377" s="50"/>
      <c r="R377" s="50"/>
      <c r="S377" s="50"/>
      <c r="T377" s="50"/>
      <c r="U377" s="50"/>
      <c r="V377" s="41"/>
      <c r="W377" s="41"/>
      <c r="X377" s="50"/>
      <c r="Y377" s="50"/>
      <c r="Z377" s="14"/>
    </row>
    <row r="378" spans="1:26" ht="25.95" customHeight="1" x14ac:dyDescent="0.3">
      <c r="A378" s="74" t="s">
        <v>365</v>
      </c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5" t="s">
        <v>342</v>
      </c>
      <c r="P378" s="75"/>
      <c r="Q378" s="22"/>
      <c r="R378" s="25" t="s">
        <v>343</v>
      </c>
      <c r="S378" s="22"/>
      <c r="T378" s="25" t="s">
        <v>344</v>
      </c>
      <c r="U378" s="22"/>
      <c r="V378" s="24" t="s">
        <v>345</v>
      </c>
      <c r="W378" s="24"/>
      <c r="X378" s="22"/>
      <c r="Y378" s="52" t="s">
        <v>346</v>
      </c>
      <c r="Z378" s="22"/>
    </row>
    <row r="379" spans="1:26" ht="13.05" customHeight="1" x14ac:dyDescent="0.3">
      <c r="A379" s="11" t="s">
        <v>523</v>
      </c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29">
        <v>573.29</v>
      </c>
      <c r="P379" s="29"/>
      <c r="Q379" s="14"/>
      <c r="R379" s="30">
        <v>573.29</v>
      </c>
      <c r="S379" s="14"/>
      <c r="T379" s="30">
        <v>0</v>
      </c>
      <c r="U379" s="14"/>
      <c r="V379" s="29">
        <v>0</v>
      </c>
      <c r="W379" s="29"/>
      <c r="X379" s="14"/>
      <c r="Y379" s="14"/>
      <c r="Z379" s="14"/>
    </row>
    <row r="380" spans="1:26" ht="15" customHeight="1" x14ac:dyDescent="0.3">
      <c r="A380" s="11" t="s">
        <v>524</v>
      </c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36">
        <v>573.29</v>
      </c>
      <c r="P380" s="36"/>
      <c r="Q380" s="14"/>
      <c r="R380" s="37">
        <v>573.29</v>
      </c>
      <c r="S380" s="14"/>
      <c r="T380" s="37">
        <v>0</v>
      </c>
      <c r="U380" s="14"/>
      <c r="V380" s="36">
        <v>0</v>
      </c>
      <c r="W380" s="36"/>
      <c r="X380" s="14"/>
      <c r="Y380" s="14"/>
      <c r="Z380" s="14"/>
    </row>
    <row r="381" spans="1:26" ht="18" customHeight="1" x14ac:dyDescent="0.3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77">
        <v>1146.58</v>
      </c>
      <c r="P381" s="77"/>
      <c r="Q381" s="22"/>
      <c r="R381" s="39">
        <v>1146.58</v>
      </c>
      <c r="S381" s="22"/>
      <c r="T381" s="30">
        <v>0</v>
      </c>
      <c r="U381" s="22"/>
      <c r="V381" s="29">
        <v>0</v>
      </c>
      <c r="W381" s="29"/>
      <c r="X381" s="22"/>
      <c r="Y381" s="22"/>
      <c r="Z381" s="22"/>
    </row>
    <row r="382" spans="1:26" ht="11.25" customHeight="1" x14ac:dyDescent="0.3">
      <c r="A382" s="58">
        <v>1117</v>
      </c>
      <c r="B382" s="58"/>
      <c r="C382" s="68" t="s">
        <v>525</v>
      </c>
      <c r="D382" s="68"/>
      <c r="E382" s="68"/>
      <c r="F382" s="68"/>
      <c r="G382" s="68"/>
      <c r="H382" s="68"/>
      <c r="I382" s="68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14"/>
    </row>
    <row r="383" spans="1:26" ht="25.95" customHeight="1" x14ac:dyDescent="0.3">
      <c r="A383" s="38"/>
      <c r="B383" s="38"/>
      <c r="C383" s="69" t="s">
        <v>340</v>
      </c>
      <c r="D383" s="69"/>
      <c r="E383" s="69"/>
      <c r="F383" s="69"/>
      <c r="G383" s="69"/>
      <c r="H383" s="69"/>
      <c r="I383" s="69"/>
      <c r="J383" s="42" t="s">
        <v>341</v>
      </c>
      <c r="K383" s="42"/>
      <c r="L383" s="43" t="s">
        <v>342</v>
      </c>
      <c r="M383" s="43"/>
      <c r="N383" s="43"/>
      <c r="O383" s="43"/>
      <c r="P383" s="43"/>
      <c r="Q383" s="43" t="s">
        <v>343</v>
      </c>
      <c r="R383" s="43"/>
      <c r="S383" s="10" t="s">
        <v>344</v>
      </c>
      <c r="T383" s="10"/>
      <c r="U383" s="43" t="s">
        <v>345</v>
      </c>
      <c r="V383" s="43"/>
      <c r="W383" s="43"/>
      <c r="X383" s="44" t="s">
        <v>346</v>
      </c>
      <c r="Y383" s="44"/>
      <c r="Z383" s="22"/>
    </row>
    <row r="384" spans="1:26" ht="15" customHeight="1" x14ac:dyDescent="0.3">
      <c r="A384" s="32">
        <v>1221</v>
      </c>
      <c r="B384" s="32"/>
      <c r="C384" s="32"/>
      <c r="D384" s="32"/>
      <c r="E384" s="32"/>
      <c r="F384" s="32"/>
      <c r="G384" s="32"/>
      <c r="H384" s="32"/>
      <c r="I384" s="28" t="s">
        <v>347</v>
      </c>
      <c r="J384" s="28"/>
      <c r="K384" s="28"/>
      <c r="L384" s="14"/>
      <c r="M384" s="48">
        <v>0</v>
      </c>
      <c r="N384" s="48"/>
      <c r="O384" s="48"/>
      <c r="P384" s="48"/>
      <c r="Q384" s="14"/>
      <c r="R384" s="46">
        <v>4267.26</v>
      </c>
      <c r="S384" s="14"/>
      <c r="T384" s="46">
        <v>-4267.26</v>
      </c>
      <c r="U384" s="14"/>
      <c r="V384" s="48">
        <v>0</v>
      </c>
      <c r="W384" s="48"/>
      <c r="X384" s="14"/>
      <c r="Y384" s="14"/>
      <c r="Z384" s="14"/>
    </row>
    <row r="385" spans="1:26" ht="18" customHeight="1" x14ac:dyDescent="0.3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22"/>
      <c r="M385" s="29">
        <v>0</v>
      </c>
      <c r="N385" s="29"/>
      <c r="O385" s="29"/>
      <c r="P385" s="29"/>
      <c r="Q385" s="22"/>
      <c r="R385" s="39">
        <v>4267.26</v>
      </c>
      <c r="S385" s="22"/>
      <c r="T385" s="39">
        <v>-4267.26</v>
      </c>
      <c r="U385" s="22"/>
      <c r="V385" s="29">
        <v>0</v>
      </c>
      <c r="W385" s="29"/>
      <c r="X385" s="22"/>
      <c r="Y385" s="22"/>
      <c r="Z385" s="22"/>
    </row>
    <row r="386" spans="1:26" ht="11.25" customHeight="1" x14ac:dyDescent="0.3">
      <c r="A386" s="40" t="s">
        <v>526</v>
      </c>
      <c r="B386" s="40"/>
      <c r="C386" s="40"/>
      <c r="D386" s="40"/>
      <c r="E386" s="40"/>
      <c r="F386" s="40"/>
      <c r="G386" s="40"/>
      <c r="H386" s="40"/>
      <c r="I386" s="20" t="s">
        <v>527</v>
      </c>
      <c r="J386" s="20"/>
      <c r="K386" s="20"/>
      <c r="L386" s="50"/>
      <c r="M386" s="41"/>
      <c r="N386" s="41"/>
      <c r="O386" s="41"/>
      <c r="P386" s="41"/>
      <c r="Q386" s="50"/>
      <c r="R386" s="50"/>
      <c r="S386" s="50"/>
      <c r="T386" s="50"/>
      <c r="U386" s="50"/>
      <c r="V386" s="41"/>
      <c r="W386" s="41"/>
      <c r="X386" s="50"/>
      <c r="Y386" s="50"/>
      <c r="Z386" s="14"/>
    </row>
    <row r="387" spans="1:26" ht="25.95" customHeight="1" x14ac:dyDescent="0.3">
      <c r="A387" s="21" t="s">
        <v>340</v>
      </c>
      <c r="B387" s="21"/>
      <c r="C387" s="21"/>
      <c r="D387" s="21"/>
      <c r="E387" s="21"/>
      <c r="F387" s="21"/>
      <c r="G387" s="21"/>
      <c r="H387" s="21"/>
      <c r="I387" s="23" t="s">
        <v>341</v>
      </c>
      <c r="J387" s="23"/>
      <c r="K387" s="23"/>
      <c r="L387" s="22"/>
      <c r="M387" s="24" t="s">
        <v>342</v>
      </c>
      <c r="N387" s="24"/>
      <c r="O387" s="24"/>
      <c r="P387" s="24"/>
      <c r="Q387" s="22"/>
      <c r="R387" s="25" t="s">
        <v>343</v>
      </c>
      <c r="S387" s="22"/>
      <c r="T387" s="25" t="s">
        <v>344</v>
      </c>
      <c r="U387" s="22"/>
      <c r="V387" s="24" t="s">
        <v>345</v>
      </c>
      <c r="W387" s="24"/>
      <c r="X387" s="22"/>
      <c r="Y387" s="52" t="s">
        <v>346</v>
      </c>
      <c r="Z387" s="22"/>
    </row>
    <row r="388" spans="1:26" ht="13.05" customHeight="1" x14ac:dyDescent="0.3">
      <c r="A388" s="32">
        <v>1225</v>
      </c>
      <c r="B388" s="32"/>
      <c r="C388" s="32"/>
      <c r="D388" s="32"/>
      <c r="E388" s="32"/>
      <c r="F388" s="32"/>
      <c r="G388" s="32"/>
      <c r="H388" s="32"/>
      <c r="I388" s="28" t="s">
        <v>347</v>
      </c>
      <c r="J388" s="28"/>
      <c r="K388" s="28"/>
      <c r="L388" s="14"/>
      <c r="M388" s="49">
        <v>2373.29</v>
      </c>
      <c r="N388" s="49"/>
      <c r="O388" s="49"/>
      <c r="P388" s="49"/>
      <c r="Q388" s="14"/>
      <c r="R388" s="39">
        <v>2373.29</v>
      </c>
      <c r="S388" s="14"/>
      <c r="T388" s="30">
        <v>0</v>
      </c>
      <c r="U388" s="14"/>
      <c r="V388" s="29">
        <v>0</v>
      </c>
      <c r="W388" s="29"/>
      <c r="X388" s="14"/>
      <c r="Y388" s="14"/>
      <c r="Z388" s="14"/>
    </row>
    <row r="389" spans="1:26" ht="15" customHeight="1" x14ac:dyDescent="0.3">
      <c r="A389" s="32">
        <v>1226</v>
      </c>
      <c r="B389" s="32"/>
      <c r="C389" s="32"/>
      <c r="D389" s="32"/>
      <c r="E389" s="32"/>
      <c r="F389" s="32"/>
      <c r="G389" s="32"/>
      <c r="H389" s="32"/>
      <c r="I389" s="33" t="s">
        <v>347</v>
      </c>
      <c r="J389" s="33"/>
      <c r="K389" s="33"/>
      <c r="L389" s="14"/>
      <c r="M389" s="53">
        <v>2522.4699999999998</v>
      </c>
      <c r="N389" s="53"/>
      <c r="O389" s="53"/>
      <c r="P389" s="53"/>
      <c r="Q389" s="14"/>
      <c r="R389" s="54">
        <v>2522.4699999999998</v>
      </c>
      <c r="S389" s="14"/>
      <c r="T389" s="37">
        <v>0</v>
      </c>
      <c r="U389" s="14"/>
      <c r="V389" s="36">
        <v>0</v>
      </c>
      <c r="W389" s="36"/>
      <c r="X389" s="14"/>
      <c r="Y389" s="14"/>
      <c r="Z389" s="14"/>
    </row>
    <row r="390" spans="1:26" ht="18" customHeight="1" x14ac:dyDescent="0.3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22"/>
      <c r="M390" s="49">
        <v>4895.76</v>
      </c>
      <c r="N390" s="49"/>
      <c r="O390" s="49"/>
      <c r="P390" s="49"/>
      <c r="Q390" s="22"/>
      <c r="R390" s="39">
        <v>4895.76</v>
      </c>
      <c r="S390" s="22"/>
      <c r="T390" s="30">
        <v>0</v>
      </c>
      <c r="U390" s="22"/>
      <c r="V390" s="29">
        <v>0</v>
      </c>
      <c r="W390" s="29"/>
      <c r="X390" s="22"/>
      <c r="Y390" s="22"/>
      <c r="Z390" s="22"/>
    </row>
    <row r="391" spans="1:26" ht="11.25" customHeight="1" x14ac:dyDescent="0.3">
      <c r="A391" s="40" t="s">
        <v>528</v>
      </c>
      <c r="B391" s="40"/>
      <c r="C391" s="40"/>
      <c r="D391" s="40"/>
      <c r="E391" s="40"/>
      <c r="F391" s="40"/>
      <c r="G391" s="40"/>
      <c r="H391" s="40"/>
      <c r="I391" s="40"/>
      <c r="J391" s="40"/>
      <c r="K391" s="40"/>
      <c r="L391" s="50"/>
      <c r="M391" s="41"/>
      <c r="N391" s="41"/>
      <c r="O391" s="41"/>
      <c r="P391" s="41"/>
      <c r="Q391" s="50"/>
      <c r="R391" s="50"/>
      <c r="S391" s="50"/>
      <c r="T391" s="50"/>
      <c r="U391" s="50"/>
      <c r="V391" s="41"/>
      <c r="W391" s="41"/>
      <c r="X391" s="50"/>
      <c r="Y391" s="50"/>
      <c r="Z391" s="14"/>
    </row>
    <row r="392" spans="1:26" ht="25.05" customHeight="1" x14ac:dyDescent="0.3">
      <c r="A392" s="74" t="s">
        <v>365</v>
      </c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22"/>
      <c r="M392" s="24" t="s">
        <v>342</v>
      </c>
      <c r="N392" s="24"/>
      <c r="O392" s="24"/>
      <c r="P392" s="24"/>
      <c r="Q392" s="22"/>
      <c r="R392" s="25" t="s">
        <v>343</v>
      </c>
      <c r="S392" s="22"/>
      <c r="T392" s="25" t="s">
        <v>344</v>
      </c>
      <c r="U392" s="22"/>
      <c r="V392" s="24" t="s">
        <v>345</v>
      </c>
      <c r="W392" s="24"/>
      <c r="X392" s="22"/>
      <c r="Y392" s="52" t="s">
        <v>346</v>
      </c>
      <c r="Z392" s="22"/>
    </row>
    <row r="393" spans="1:26" ht="16.05" customHeight="1" x14ac:dyDescent="0.3">
      <c r="A393" s="11" t="s">
        <v>529</v>
      </c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4"/>
      <c r="M393" s="48">
        <v>0</v>
      </c>
      <c r="N393" s="48"/>
      <c r="O393" s="48"/>
      <c r="P393" s="48"/>
      <c r="Q393" s="14"/>
      <c r="R393" s="46">
        <v>2255.4299999999998</v>
      </c>
      <c r="S393" s="14"/>
      <c r="T393" s="46">
        <v>-2255.4299999999998</v>
      </c>
      <c r="U393" s="14"/>
      <c r="V393" s="48">
        <v>0</v>
      </c>
      <c r="W393" s="48"/>
      <c r="X393" s="14"/>
      <c r="Y393" s="14"/>
      <c r="Z393" s="14"/>
    </row>
    <row r="394" spans="1:26" ht="18" customHeight="1" x14ac:dyDescent="0.3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22"/>
      <c r="M394" s="29">
        <v>0</v>
      </c>
      <c r="N394" s="29"/>
      <c r="O394" s="29"/>
      <c r="P394" s="29"/>
      <c r="Q394" s="22"/>
      <c r="R394" s="39">
        <v>2255.4299999999998</v>
      </c>
      <c r="S394" s="22"/>
      <c r="T394" s="39">
        <v>-2255.4299999999998</v>
      </c>
      <c r="U394" s="22"/>
      <c r="V394" s="29">
        <v>0</v>
      </c>
      <c r="W394" s="29"/>
      <c r="X394" s="22"/>
      <c r="Y394" s="22"/>
      <c r="Z394" s="22"/>
    </row>
    <row r="395" spans="1:26" ht="11.25" customHeight="1" x14ac:dyDescent="0.3">
      <c r="A395" s="40" t="s">
        <v>530</v>
      </c>
      <c r="B395" s="40"/>
      <c r="C395" s="40"/>
      <c r="D395" s="40"/>
      <c r="E395" s="40"/>
      <c r="F395" s="40"/>
      <c r="G395" s="40"/>
      <c r="H395" s="40"/>
      <c r="I395" s="40"/>
      <c r="J395" s="40"/>
      <c r="K395" s="40"/>
      <c r="L395" s="50"/>
      <c r="M395" s="41"/>
      <c r="N395" s="41"/>
      <c r="O395" s="41"/>
      <c r="P395" s="41"/>
      <c r="Q395" s="50"/>
      <c r="R395" s="50"/>
      <c r="S395" s="50"/>
      <c r="T395" s="50"/>
      <c r="U395" s="50"/>
      <c r="V395" s="41"/>
      <c r="W395" s="41"/>
      <c r="X395" s="50"/>
      <c r="Y395" s="50"/>
      <c r="Z395" s="14"/>
    </row>
    <row r="396" spans="1:26" ht="25.95" customHeight="1" x14ac:dyDescent="0.3">
      <c r="A396" s="74" t="s">
        <v>365</v>
      </c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22"/>
      <c r="M396" s="24" t="s">
        <v>342</v>
      </c>
      <c r="N396" s="24"/>
      <c r="O396" s="24"/>
      <c r="P396" s="24"/>
      <c r="Q396" s="22"/>
      <c r="R396" s="25" t="s">
        <v>343</v>
      </c>
      <c r="S396" s="22"/>
      <c r="T396" s="25" t="s">
        <v>344</v>
      </c>
      <c r="U396" s="22"/>
      <c r="V396" s="24" t="s">
        <v>345</v>
      </c>
      <c r="W396" s="24"/>
      <c r="X396" s="22"/>
      <c r="Y396" s="52" t="s">
        <v>346</v>
      </c>
      <c r="Z396" s="22"/>
    </row>
    <row r="397" spans="1:26" ht="16.05" customHeight="1" x14ac:dyDescent="0.3">
      <c r="A397" s="11" t="s">
        <v>531</v>
      </c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4"/>
      <c r="M397" s="48">
        <v>0</v>
      </c>
      <c r="N397" s="48"/>
      <c r="O397" s="48"/>
      <c r="P397" s="48"/>
      <c r="Q397" s="14"/>
      <c r="R397" s="46">
        <v>1610.62</v>
      </c>
      <c r="S397" s="14"/>
      <c r="T397" s="46">
        <v>-1610.62</v>
      </c>
      <c r="U397" s="14"/>
      <c r="V397" s="48">
        <v>0</v>
      </c>
      <c r="W397" s="48"/>
      <c r="X397" s="14"/>
      <c r="Y397" s="14"/>
      <c r="Z397" s="14"/>
    </row>
    <row r="398" spans="1:26" ht="18" customHeight="1" x14ac:dyDescent="0.3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22"/>
      <c r="M398" s="29">
        <v>0</v>
      </c>
      <c r="N398" s="29"/>
      <c r="O398" s="29"/>
      <c r="P398" s="29"/>
      <c r="Q398" s="22"/>
      <c r="R398" s="39">
        <v>1610.62</v>
      </c>
      <c r="S398" s="22"/>
      <c r="T398" s="39">
        <v>-1610.62</v>
      </c>
      <c r="U398" s="22"/>
      <c r="V398" s="29">
        <v>0</v>
      </c>
      <c r="W398" s="29"/>
      <c r="X398" s="22"/>
      <c r="Y398" s="22"/>
      <c r="Z398" s="22"/>
    </row>
    <row r="399" spans="1:26" ht="11.25" customHeight="1" x14ac:dyDescent="0.3">
      <c r="A399" s="58">
        <v>1121</v>
      </c>
      <c r="B399" s="58"/>
      <c r="C399" s="68" t="s">
        <v>532</v>
      </c>
      <c r="D399" s="68"/>
      <c r="E399" s="68"/>
      <c r="F399" s="68"/>
      <c r="G399" s="68"/>
      <c r="H399" s="68"/>
      <c r="I399" s="68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14"/>
    </row>
    <row r="400" spans="1:26" ht="25.95" customHeight="1" x14ac:dyDescent="0.3">
      <c r="A400" s="38"/>
      <c r="B400" s="38"/>
      <c r="C400" s="69" t="s">
        <v>340</v>
      </c>
      <c r="D400" s="69"/>
      <c r="E400" s="69"/>
      <c r="F400" s="69"/>
      <c r="G400" s="69"/>
      <c r="H400" s="69"/>
      <c r="I400" s="69"/>
      <c r="J400" s="42" t="s">
        <v>341</v>
      </c>
      <c r="K400" s="42"/>
      <c r="L400" s="43" t="s">
        <v>342</v>
      </c>
      <c r="M400" s="43"/>
      <c r="N400" s="43"/>
      <c r="O400" s="43"/>
      <c r="P400" s="43"/>
      <c r="Q400" s="43" t="s">
        <v>343</v>
      </c>
      <c r="R400" s="43"/>
      <c r="S400" s="10" t="s">
        <v>344</v>
      </c>
      <c r="T400" s="10"/>
      <c r="U400" s="43" t="s">
        <v>345</v>
      </c>
      <c r="V400" s="43"/>
      <c r="W400" s="43"/>
      <c r="X400" s="44" t="s">
        <v>346</v>
      </c>
      <c r="Y400" s="44"/>
      <c r="Z400" s="22"/>
    </row>
    <row r="401" spans="1:26" ht="13.05" customHeight="1" x14ac:dyDescent="0.3">
      <c r="A401" s="11" t="s">
        <v>533</v>
      </c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4"/>
      <c r="M401" s="49">
        <v>4051.23</v>
      </c>
      <c r="N401" s="49"/>
      <c r="O401" s="49"/>
      <c r="P401" s="49"/>
      <c r="Q401" s="14"/>
      <c r="R401" s="39">
        <v>4051.23</v>
      </c>
      <c r="S401" s="14"/>
      <c r="T401" s="30">
        <v>0</v>
      </c>
      <c r="U401" s="14"/>
      <c r="V401" s="29">
        <v>0</v>
      </c>
      <c r="W401" s="29"/>
      <c r="X401" s="14"/>
      <c r="Y401" s="14"/>
      <c r="Z401" s="14"/>
    </row>
    <row r="402" spans="1:26" ht="13.95" customHeight="1" x14ac:dyDescent="0.3">
      <c r="A402" s="11" t="s">
        <v>534</v>
      </c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4"/>
      <c r="M402" s="53">
        <v>1196.71</v>
      </c>
      <c r="N402" s="53"/>
      <c r="O402" s="53"/>
      <c r="P402" s="53"/>
      <c r="Q402" s="14"/>
      <c r="R402" s="54">
        <v>1196.71</v>
      </c>
      <c r="S402" s="14"/>
      <c r="T402" s="37">
        <v>0</v>
      </c>
      <c r="U402" s="14"/>
      <c r="V402" s="36">
        <v>0</v>
      </c>
      <c r="W402" s="36"/>
      <c r="X402" s="14"/>
      <c r="Y402" s="14"/>
      <c r="Z402" s="14"/>
    </row>
    <row r="403" spans="1:26" ht="18" customHeight="1" x14ac:dyDescent="0.3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22"/>
      <c r="M403" s="49">
        <v>5247.94</v>
      </c>
      <c r="N403" s="49"/>
      <c r="O403" s="49"/>
      <c r="P403" s="49"/>
      <c r="Q403" s="22"/>
      <c r="R403" s="39">
        <v>5247.94</v>
      </c>
      <c r="S403" s="22"/>
      <c r="T403" s="30">
        <v>0</v>
      </c>
      <c r="U403" s="22"/>
      <c r="V403" s="29">
        <v>0</v>
      </c>
      <c r="W403" s="29"/>
      <c r="X403" s="22"/>
      <c r="Y403" s="22"/>
      <c r="Z403" s="22"/>
    </row>
    <row r="404" spans="1:26" ht="11.25" customHeight="1" x14ac:dyDescent="0.3">
      <c r="A404" s="40" t="s">
        <v>535</v>
      </c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50"/>
      <c r="M404" s="41"/>
      <c r="N404" s="41"/>
      <c r="O404" s="41"/>
      <c r="P404" s="41"/>
      <c r="Q404" s="50"/>
      <c r="R404" s="50"/>
      <c r="S404" s="50"/>
      <c r="T404" s="50"/>
      <c r="U404" s="50"/>
      <c r="V404" s="41"/>
      <c r="W404" s="41"/>
      <c r="X404" s="50"/>
      <c r="Y404" s="50"/>
      <c r="Z404" s="14"/>
    </row>
    <row r="405" spans="1:26" ht="25.95" customHeight="1" x14ac:dyDescent="0.3">
      <c r="A405" s="74" t="s">
        <v>365</v>
      </c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22"/>
      <c r="M405" s="24" t="s">
        <v>342</v>
      </c>
      <c r="N405" s="24"/>
      <c r="O405" s="24"/>
      <c r="P405" s="24"/>
      <c r="Q405" s="22"/>
      <c r="R405" s="25" t="s">
        <v>343</v>
      </c>
      <c r="S405" s="22"/>
      <c r="T405" s="25" t="s">
        <v>344</v>
      </c>
      <c r="U405" s="22"/>
      <c r="V405" s="24" t="s">
        <v>345</v>
      </c>
      <c r="W405" s="24"/>
      <c r="X405" s="22"/>
      <c r="Y405" s="52" t="s">
        <v>346</v>
      </c>
      <c r="Z405" s="22"/>
    </row>
    <row r="406" spans="1:26" ht="16.05" customHeight="1" x14ac:dyDescent="0.3">
      <c r="A406" s="11" t="s">
        <v>536</v>
      </c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4"/>
      <c r="M406" s="45">
        <v>2958.9</v>
      </c>
      <c r="N406" s="45"/>
      <c r="O406" s="45"/>
      <c r="P406" s="45"/>
      <c r="Q406" s="14"/>
      <c r="R406" s="46">
        <v>2958.9</v>
      </c>
      <c r="S406" s="14"/>
      <c r="T406" s="47">
        <v>0</v>
      </c>
      <c r="U406" s="14"/>
      <c r="V406" s="48">
        <v>0</v>
      </c>
      <c r="W406" s="48"/>
      <c r="X406" s="14"/>
      <c r="Y406" s="14"/>
      <c r="Z406" s="14"/>
    </row>
    <row r="407" spans="1:26" ht="18" customHeight="1" x14ac:dyDescent="0.3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22"/>
      <c r="M407" s="49">
        <v>2958.9</v>
      </c>
      <c r="N407" s="49"/>
      <c r="O407" s="49"/>
      <c r="P407" s="49"/>
      <c r="Q407" s="22"/>
      <c r="R407" s="39">
        <v>2958.9</v>
      </c>
      <c r="S407" s="22"/>
      <c r="T407" s="30">
        <v>0</v>
      </c>
      <c r="U407" s="22"/>
      <c r="V407" s="29">
        <v>0</v>
      </c>
      <c r="W407" s="29"/>
      <c r="X407" s="22"/>
      <c r="Y407" s="22"/>
      <c r="Z407" s="22"/>
    </row>
    <row r="408" spans="1:26" ht="11.25" customHeight="1" x14ac:dyDescent="0.3">
      <c r="A408" s="40" t="s">
        <v>537</v>
      </c>
      <c r="B408" s="40"/>
      <c r="C408" s="40"/>
      <c r="D408" s="40"/>
      <c r="E408" s="40"/>
      <c r="F408" s="40"/>
      <c r="G408" s="40"/>
      <c r="H408" s="20" t="s">
        <v>538</v>
      </c>
      <c r="I408" s="20"/>
      <c r="J408" s="20"/>
      <c r="K408" s="20"/>
      <c r="L408" s="50"/>
      <c r="M408" s="41"/>
      <c r="N408" s="41"/>
      <c r="O408" s="41"/>
      <c r="P408" s="41"/>
      <c r="Q408" s="50"/>
      <c r="R408" s="50"/>
      <c r="S408" s="50"/>
      <c r="T408" s="50"/>
      <c r="U408" s="50"/>
      <c r="V408" s="41"/>
      <c r="W408" s="41"/>
      <c r="X408" s="50"/>
      <c r="Y408" s="50"/>
      <c r="Z408" s="14"/>
    </row>
    <row r="409" spans="1:26" ht="25.05" customHeight="1" x14ac:dyDescent="0.3">
      <c r="A409" s="21" t="s">
        <v>340</v>
      </c>
      <c r="B409" s="21"/>
      <c r="C409" s="21"/>
      <c r="D409" s="21"/>
      <c r="E409" s="21"/>
      <c r="F409" s="21"/>
      <c r="G409" s="21"/>
      <c r="H409" s="22"/>
      <c r="I409" s="23" t="s">
        <v>341</v>
      </c>
      <c r="J409" s="23"/>
      <c r="K409" s="23"/>
      <c r="L409" s="22"/>
      <c r="M409" s="24" t="s">
        <v>342</v>
      </c>
      <c r="N409" s="24"/>
      <c r="O409" s="24"/>
      <c r="P409" s="24"/>
      <c r="Q409" s="22"/>
      <c r="R409" s="25" t="s">
        <v>343</v>
      </c>
      <c r="S409" s="22"/>
      <c r="T409" s="25" t="s">
        <v>344</v>
      </c>
      <c r="U409" s="22"/>
      <c r="V409" s="24" t="s">
        <v>345</v>
      </c>
      <c r="W409" s="24"/>
      <c r="X409" s="22"/>
      <c r="Y409" s="52" t="s">
        <v>346</v>
      </c>
      <c r="Z409" s="22"/>
    </row>
    <row r="410" spans="1:26" ht="13.95" customHeight="1" x14ac:dyDescent="0.3">
      <c r="A410" s="32">
        <v>1245</v>
      </c>
      <c r="B410" s="32"/>
      <c r="C410" s="32"/>
      <c r="D410" s="32"/>
      <c r="E410" s="32"/>
      <c r="F410" s="32"/>
      <c r="G410" s="32"/>
      <c r="H410" s="14"/>
      <c r="I410" s="28" t="s">
        <v>347</v>
      </c>
      <c r="J410" s="28"/>
      <c r="K410" s="28"/>
      <c r="L410" s="14"/>
      <c r="M410" s="49">
        <v>1528.77</v>
      </c>
      <c r="N410" s="49"/>
      <c r="O410" s="49"/>
      <c r="P410" s="49"/>
      <c r="Q410" s="14"/>
      <c r="R410" s="39">
        <v>1528.77</v>
      </c>
      <c r="S410" s="14"/>
      <c r="T410" s="30">
        <v>0</v>
      </c>
      <c r="U410" s="14"/>
      <c r="V410" s="29">
        <v>0</v>
      </c>
      <c r="W410" s="29"/>
      <c r="X410" s="14"/>
      <c r="Y410" s="14"/>
      <c r="Z410" s="14"/>
    </row>
    <row r="411" spans="1:26" ht="12" customHeight="1" x14ac:dyDescent="0.3">
      <c r="A411" s="32">
        <v>1258</v>
      </c>
      <c r="B411" s="32"/>
      <c r="C411" s="32"/>
      <c r="D411" s="32"/>
      <c r="E411" s="32"/>
      <c r="F411" s="32"/>
      <c r="G411" s="32"/>
      <c r="H411" s="14"/>
      <c r="I411" s="33" t="s">
        <v>347</v>
      </c>
      <c r="J411" s="33"/>
      <c r="K411" s="33"/>
      <c r="L411" s="14"/>
      <c r="M411" s="85">
        <v>2866.44</v>
      </c>
      <c r="N411" s="85"/>
      <c r="O411" s="85"/>
      <c r="P411" s="85"/>
      <c r="Q411" s="14"/>
      <c r="R411" s="57">
        <v>2866.44</v>
      </c>
      <c r="S411" s="14"/>
      <c r="T411" s="35">
        <v>0</v>
      </c>
      <c r="U411" s="14"/>
      <c r="V411" s="34">
        <v>0</v>
      </c>
      <c r="W411" s="34"/>
      <c r="X411" s="14"/>
      <c r="Y411" s="14"/>
      <c r="Z411" s="14"/>
    </row>
    <row r="412" spans="1:26" ht="13.95" customHeight="1" x14ac:dyDescent="0.3">
      <c r="A412" s="32">
        <v>1274</v>
      </c>
      <c r="B412" s="32"/>
      <c r="C412" s="32"/>
      <c r="D412" s="32"/>
      <c r="E412" s="32"/>
      <c r="F412" s="32"/>
      <c r="G412" s="32"/>
      <c r="H412" s="14"/>
      <c r="I412" s="33" t="s">
        <v>347</v>
      </c>
      <c r="J412" s="33"/>
      <c r="K412" s="33"/>
      <c r="L412" s="14"/>
      <c r="M412" s="53">
        <v>3248.63</v>
      </c>
      <c r="N412" s="53"/>
      <c r="O412" s="53"/>
      <c r="P412" s="53"/>
      <c r="Q412" s="14"/>
      <c r="R412" s="54">
        <v>3248.63</v>
      </c>
      <c r="S412" s="14"/>
      <c r="T412" s="37">
        <v>0</v>
      </c>
      <c r="U412" s="14"/>
      <c r="V412" s="36">
        <v>0</v>
      </c>
      <c r="W412" s="36"/>
      <c r="X412" s="14"/>
      <c r="Y412" s="14"/>
      <c r="Z412" s="14"/>
    </row>
    <row r="413" spans="1:26" ht="11.25" customHeight="1" x14ac:dyDescent="0.3">
      <c r="A413" s="18"/>
      <c r="B413" s="18"/>
      <c r="C413" s="18"/>
      <c r="D413" s="18"/>
      <c r="E413" s="18"/>
      <c r="F413" s="18"/>
      <c r="G413" s="18"/>
      <c r="H413" s="14"/>
      <c r="I413" s="18"/>
      <c r="J413" s="18"/>
      <c r="K413" s="18"/>
      <c r="L413" s="14"/>
      <c r="M413" s="49">
        <v>7643.84</v>
      </c>
      <c r="N413" s="49"/>
      <c r="O413" s="49"/>
      <c r="P413" s="49"/>
      <c r="Q413" s="14"/>
      <c r="R413" s="39">
        <v>7643.84</v>
      </c>
      <c r="S413" s="14"/>
      <c r="T413" s="30">
        <v>0</v>
      </c>
      <c r="U413" s="14"/>
      <c r="V413" s="29">
        <v>0</v>
      </c>
      <c r="W413" s="29"/>
      <c r="X413" s="14"/>
      <c r="Y413" s="14"/>
      <c r="Z413" s="14"/>
    </row>
    <row r="414" spans="1:26" ht="11.25" customHeight="1" x14ac:dyDescent="0.3">
      <c r="A414" s="14"/>
      <c r="B414" s="20" t="s">
        <v>539</v>
      </c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6" customHeight="1" x14ac:dyDescent="0.3">
      <c r="A415" s="14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4"/>
      <c r="M415" s="14"/>
      <c r="N415" s="18"/>
      <c r="O415" s="18"/>
      <c r="P415" s="18"/>
      <c r="Q415" s="14"/>
      <c r="R415" s="14"/>
      <c r="S415" s="14"/>
      <c r="T415" s="14"/>
      <c r="U415" s="14"/>
      <c r="V415" s="18"/>
      <c r="W415" s="18"/>
      <c r="X415" s="14"/>
      <c r="Y415" s="14"/>
      <c r="Z415" s="14"/>
    </row>
    <row r="416" spans="1:26" ht="11.25" customHeight="1" x14ac:dyDescent="0.3">
      <c r="A416" s="21" t="s">
        <v>540</v>
      </c>
      <c r="B416" s="21"/>
      <c r="C416" s="21"/>
      <c r="D416" s="21"/>
      <c r="E416" s="21"/>
      <c r="F416" s="18"/>
      <c r="G416" s="18"/>
      <c r="H416" s="18"/>
      <c r="I416" s="18"/>
      <c r="J416" s="18"/>
      <c r="K416" s="18"/>
      <c r="L416" s="18"/>
      <c r="M416" s="18"/>
      <c r="N416" s="10" t="s">
        <v>541</v>
      </c>
      <c r="O416" s="10"/>
      <c r="P416" s="10"/>
      <c r="Q416" s="10"/>
      <c r="R416" s="10" t="s">
        <v>542</v>
      </c>
      <c r="S416" s="10"/>
      <c r="T416" s="10" t="s">
        <v>543</v>
      </c>
      <c r="U416" s="10"/>
      <c r="V416" s="10" t="s">
        <v>543</v>
      </c>
      <c r="W416" s="10"/>
      <c r="X416" s="18"/>
      <c r="Y416" s="18"/>
      <c r="Z416" s="14"/>
    </row>
    <row r="417" spans="1:26" ht="12" customHeight="1" x14ac:dyDescent="0.3">
      <c r="A417" s="91" t="s">
        <v>544</v>
      </c>
      <c r="B417" s="91"/>
      <c r="C417" s="91"/>
      <c r="D417" s="91"/>
      <c r="E417" s="91"/>
      <c r="F417" s="92" t="s">
        <v>341</v>
      </c>
      <c r="G417" s="92"/>
      <c r="H417" s="92"/>
      <c r="I417" s="92"/>
      <c r="J417" s="92"/>
      <c r="K417" s="92"/>
      <c r="L417" s="92"/>
      <c r="M417" s="92"/>
      <c r="N417" s="69" t="s">
        <v>545</v>
      </c>
      <c r="O417" s="69"/>
      <c r="P417" s="69"/>
      <c r="Q417" s="69"/>
      <c r="R417" s="92" t="s">
        <v>546</v>
      </c>
      <c r="S417" s="92"/>
      <c r="T417" s="92" t="s">
        <v>546</v>
      </c>
      <c r="U417" s="92"/>
      <c r="V417" s="10" t="s">
        <v>547</v>
      </c>
      <c r="W417" s="10"/>
      <c r="X417" s="10" t="s">
        <v>346</v>
      </c>
      <c r="Y417" s="10"/>
      <c r="Z417" s="14"/>
    </row>
    <row r="418" spans="1:26" ht="8.25" customHeight="1" x14ac:dyDescent="0.3">
      <c r="A418" s="14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4"/>
      <c r="M418" s="14"/>
      <c r="N418" s="18"/>
      <c r="O418" s="18"/>
      <c r="P418" s="18"/>
      <c r="Q418" s="14"/>
      <c r="R418" s="14"/>
      <c r="S418" s="14"/>
      <c r="T418" s="14"/>
      <c r="U418" s="14"/>
      <c r="V418" s="18"/>
      <c r="W418" s="18"/>
      <c r="X418" s="14"/>
      <c r="Y418" s="14"/>
      <c r="Z418" s="14"/>
    </row>
    <row r="419" spans="1:26" ht="11.25" customHeight="1" x14ac:dyDescent="0.3">
      <c r="A419" s="14"/>
      <c r="B419" s="20" t="s">
        <v>548</v>
      </c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6" customHeight="1" x14ac:dyDescent="0.3">
      <c r="A420" s="14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4"/>
      <c r="M420" s="14"/>
      <c r="N420" s="18"/>
      <c r="O420" s="18"/>
      <c r="P420" s="18"/>
      <c r="Q420" s="14"/>
      <c r="R420" s="14"/>
      <c r="S420" s="14"/>
      <c r="T420" s="14"/>
      <c r="U420" s="14"/>
      <c r="V420" s="18"/>
      <c r="W420" s="18"/>
      <c r="X420" s="14"/>
      <c r="Y420" s="14"/>
      <c r="Z420" s="14"/>
    </row>
    <row r="421" spans="1:26" ht="22.5" customHeight="1" x14ac:dyDescent="0.3">
      <c r="A421" s="74" t="s">
        <v>365</v>
      </c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22"/>
      <c r="M421" s="24" t="s">
        <v>342</v>
      </c>
      <c r="N421" s="24"/>
      <c r="O421" s="24"/>
      <c r="P421" s="24"/>
      <c r="Q421" s="22"/>
      <c r="R421" s="25" t="s">
        <v>343</v>
      </c>
      <c r="S421" s="22"/>
      <c r="T421" s="25" t="s">
        <v>344</v>
      </c>
      <c r="U421" s="22"/>
      <c r="V421" s="24" t="s">
        <v>345</v>
      </c>
      <c r="W421" s="24"/>
      <c r="X421" s="22"/>
      <c r="Y421" s="52" t="s">
        <v>346</v>
      </c>
      <c r="Z421" s="22"/>
    </row>
    <row r="422" spans="1:26" ht="15" customHeight="1" x14ac:dyDescent="0.3">
      <c r="A422" s="11" t="s">
        <v>549</v>
      </c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4"/>
      <c r="M422" s="45">
        <v>3287.67</v>
      </c>
      <c r="N422" s="45"/>
      <c r="O422" s="45"/>
      <c r="P422" s="45"/>
      <c r="Q422" s="14"/>
      <c r="R422" s="46">
        <v>3287.67</v>
      </c>
      <c r="S422" s="14"/>
      <c r="T422" s="47">
        <v>0</v>
      </c>
      <c r="U422" s="14"/>
      <c r="V422" s="48">
        <v>0</v>
      </c>
      <c r="W422" s="48"/>
      <c r="X422" s="14"/>
      <c r="Y422" s="14"/>
      <c r="Z422" s="14"/>
    </row>
    <row r="423" spans="1:26" ht="18" customHeight="1" x14ac:dyDescent="0.3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22"/>
      <c r="M423" s="49">
        <v>3287.67</v>
      </c>
      <c r="N423" s="49"/>
      <c r="O423" s="49"/>
      <c r="P423" s="49"/>
      <c r="Q423" s="22"/>
      <c r="R423" s="39">
        <v>3287.67</v>
      </c>
      <c r="S423" s="22"/>
      <c r="T423" s="30">
        <v>0</v>
      </c>
      <c r="U423" s="22"/>
      <c r="V423" s="29">
        <v>0</v>
      </c>
      <c r="W423" s="29"/>
      <c r="X423" s="22"/>
      <c r="Y423" s="22"/>
      <c r="Z423" s="22"/>
    </row>
    <row r="424" spans="1:26" ht="12" customHeight="1" x14ac:dyDescent="0.3">
      <c r="A424" s="40" t="s">
        <v>550</v>
      </c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50"/>
      <c r="M424" s="41"/>
      <c r="N424" s="41"/>
      <c r="O424" s="41"/>
      <c r="P424" s="41"/>
      <c r="Q424" s="50"/>
      <c r="R424" s="50"/>
      <c r="S424" s="50"/>
      <c r="T424" s="50"/>
      <c r="U424" s="50"/>
      <c r="V424" s="41"/>
      <c r="W424" s="41"/>
      <c r="X424" s="50"/>
      <c r="Y424" s="50"/>
      <c r="Z424" s="14"/>
    </row>
    <row r="425" spans="1:26" ht="25.05" customHeight="1" x14ac:dyDescent="0.3">
      <c r="A425" s="74" t="s">
        <v>365</v>
      </c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22"/>
      <c r="M425" s="24" t="s">
        <v>342</v>
      </c>
      <c r="N425" s="24"/>
      <c r="O425" s="24"/>
      <c r="P425" s="24"/>
      <c r="Q425" s="22"/>
      <c r="R425" s="25" t="s">
        <v>343</v>
      </c>
      <c r="S425" s="22"/>
      <c r="T425" s="25" t="s">
        <v>344</v>
      </c>
      <c r="U425" s="22"/>
      <c r="V425" s="24" t="s">
        <v>345</v>
      </c>
      <c r="W425" s="24"/>
      <c r="X425" s="22"/>
      <c r="Y425" s="52" t="s">
        <v>346</v>
      </c>
      <c r="Z425" s="22"/>
    </row>
    <row r="426" spans="1:26" ht="16.05" customHeight="1" x14ac:dyDescent="0.3">
      <c r="A426" s="11" t="s">
        <v>551</v>
      </c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4"/>
      <c r="M426" s="48">
        <v>0</v>
      </c>
      <c r="N426" s="48"/>
      <c r="O426" s="48"/>
      <c r="P426" s="48"/>
      <c r="Q426" s="14"/>
      <c r="R426" s="47">
        <v>432.43</v>
      </c>
      <c r="S426" s="14"/>
      <c r="T426" s="47">
        <v>-432.43</v>
      </c>
      <c r="U426" s="14"/>
      <c r="V426" s="48">
        <v>0</v>
      </c>
      <c r="W426" s="48"/>
      <c r="X426" s="14"/>
      <c r="Y426" s="14"/>
      <c r="Z426" s="14"/>
    </row>
    <row r="427" spans="1:26" ht="18" customHeight="1" x14ac:dyDescent="0.3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22"/>
      <c r="M427" s="29">
        <v>0</v>
      </c>
      <c r="N427" s="29"/>
      <c r="O427" s="29"/>
      <c r="P427" s="29"/>
      <c r="Q427" s="22"/>
      <c r="R427" s="30">
        <v>432.43</v>
      </c>
      <c r="S427" s="22"/>
      <c r="T427" s="30">
        <v>-432.43</v>
      </c>
      <c r="U427" s="22"/>
      <c r="V427" s="29">
        <v>0</v>
      </c>
      <c r="W427" s="29"/>
      <c r="X427" s="22"/>
      <c r="Y427" s="22"/>
      <c r="Z427" s="22"/>
    </row>
    <row r="428" spans="1:26" ht="11.25" customHeight="1" x14ac:dyDescent="0.3">
      <c r="A428" s="40" t="s">
        <v>552</v>
      </c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50"/>
      <c r="M428" s="41"/>
      <c r="N428" s="41"/>
      <c r="O428" s="41"/>
      <c r="P428" s="41"/>
      <c r="Q428" s="50"/>
      <c r="R428" s="50"/>
      <c r="S428" s="50"/>
      <c r="T428" s="50"/>
      <c r="U428" s="50"/>
      <c r="V428" s="41"/>
      <c r="W428" s="41"/>
      <c r="X428" s="50"/>
      <c r="Y428" s="50"/>
      <c r="Z428" s="14"/>
    </row>
    <row r="429" spans="1:26" ht="25.95" customHeight="1" x14ac:dyDescent="0.3">
      <c r="A429" s="74" t="s">
        <v>365</v>
      </c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22"/>
      <c r="M429" s="24" t="s">
        <v>342</v>
      </c>
      <c r="N429" s="24"/>
      <c r="O429" s="24"/>
      <c r="P429" s="24"/>
      <c r="Q429" s="22"/>
      <c r="R429" s="25" t="s">
        <v>343</v>
      </c>
      <c r="S429" s="22"/>
      <c r="T429" s="25" t="s">
        <v>344</v>
      </c>
      <c r="U429" s="22"/>
      <c r="V429" s="24" t="s">
        <v>345</v>
      </c>
      <c r="W429" s="24"/>
      <c r="X429" s="22"/>
      <c r="Y429" s="52" t="s">
        <v>346</v>
      </c>
      <c r="Z429" s="22"/>
    </row>
    <row r="430" spans="1:26" ht="15" customHeight="1" x14ac:dyDescent="0.3">
      <c r="A430" s="11" t="s">
        <v>553</v>
      </c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4"/>
      <c r="M430" s="72">
        <v>51500</v>
      </c>
      <c r="N430" s="72"/>
      <c r="O430" s="72"/>
      <c r="P430" s="72"/>
      <c r="Q430" s="14"/>
      <c r="R430" s="46">
        <v>51500</v>
      </c>
      <c r="S430" s="14"/>
      <c r="T430" s="47">
        <v>0</v>
      </c>
      <c r="U430" s="14"/>
      <c r="V430" s="48">
        <v>0</v>
      </c>
      <c r="W430" s="48"/>
      <c r="X430" s="14"/>
      <c r="Y430" s="14"/>
      <c r="Z430" s="14"/>
    </row>
    <row r="431" spans="1:26" ht="18" customHeight="1" x14ac:dyDescent="0.3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22"/>
      <c r="M431" s="73">
        <v>51500</v>
      </c>
      <c r="N431" s="73"/>
      <c r="O431" s="73"/>
      <c r="P431" s="73"/>
      <c r="Q431" s="22"/>
      <c r="R431" s="39">
        <v>51500</v>
      </c>
      <c r="S431" s="22"/>
      <c r="T431" s="30">
        <v>0</v>
      </c>
      <c r="U431" s="22"/>
      <c r="V431" s="29">
        <v>0</v>
      </c>
      <c r="W431" s="29"/>
      <c r="X431" s="22"/>
      <c r="Y431" s="22"/>
      <c r="Z431" s="22"/>
    </row>
    <row r="432" spans="1:26" ht="12" customHeight="1" x14ac:dyDescent="0.3">
      <c r="A432" s="40" t="s">
        <v>554</v>
      </c>
      <c r="B432" s="40"/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50"/>
      <c r="R432" s="50"/>
      <c r="S432" s="50"/>
      <c r="T432" s="50"/>
      <c r="U432" s="50"/>
      <c r="V432" s="41"/>
      <c r="W432" s="41"/>
      <c r="X432" s="50"/>
      <c r="Y432" s="50"/>
      <c r="Z432" s="14"/>
    </row>
    <row r="433" spans="1:26" ht="25.05" customHeight="1" x14ac:dyDescent="0.3">
      <c r="A433" s="74" t="s">
        <v>380</v>
      </c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22"/>
      <c r="R433" s="25" t="s">
        <v>343</v>
      </c>
      <c r="S433" s="22"/>
      <c r="T433" s="25" t="s">
        <v>344</v>
      </c>
      <c r="U433" s="22"/>
      <c r="V433" s="24" t="s">
        <v>345</v>
      </c>
      <c r="W433" s="24"/>
      <c r="X433" s="22"/>
      <c r="Y433" s="52" t="s">
        <v>346</v>
      </c>
      <c r="Z433" s="22"/>
    </row>
    <row r="434" spans="1:26" ht="16.05" customHeight="1" x14ac:dyDescent="0.3">
      <c r="A434" s="11" t="s">
        <v>555</v>
      </c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4"/>
      <c r="R434" s="47">
        <v>942.76</v>
      </c>
      <c r="S434" s="14"/>
      <c r="T434" s="47">
        <v>-942.76</v>
      </c>
      <c r="U434" s="14"/>
      <c r="V434" s="48">
        <v>0</v>
      </c>
      <c r="W434" s="48"/>
      <c r="X434" s="14"/>
      <c r="Y434" s="14"/>
      <c r="Z434" s="14"/>
    </row>
    <row r="435" spans="1:26" ht="18" customHeight="1" x14ac:dyDescent="0.3">
      <c r="A435" s="34">
        <v>0</v>
      </c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22"/>
      <c r="R435" s="30">
        <v>942.76</v>
      </c>
      <c r="S435" s="22"/>
      <c r="T435" s="30">
        <v>-942.76</v>
      </c>
      <c r="U435" s="22"/>
      <c r="V435" s="29">
        <v>0</v>
      </c>
      <c r="W435" s="29"/>
      <c r="X435" s="22"/>
      <c r="Y435" s="22"/>
      <c r="Z435" s="22"/>
    </row>
    <row r="436" spans="1:26" ht="11.25" customHeight="1" x14ac:dyDescent="0.3">
      <c r="A436" s="40" t="s">
        <v>556</v>
      </c>
      <c r="B436" s="40"/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50"/>
      <c r="R436" s="50"/>
      <c r="S436" s="50"/>
      <c r="T436" s="50"/>
      <c r="U436" s="50"/>
      <c r="V436" s="41"/>
      <c r="W436" s="41"/>
      <c r="X436" s="50"/>
      <c r="Y436" s="50"/>
      <c r="Z436" s="14"/>
    </row>
    <row r="437" spans="1:26" ht="25.95" customHeight="1" x14ac:dyDescent="0.3">
      <c r="A437" s="74" t="s">
        <v>380</v>
      </c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22"/>
      <c r="R437" s="25" t="s">
        <v>343</v>
      </c>
      <c r="S437" s="22"/>
      <c r="T437" s="25" t="s">
        <v>344</v>
      </c>
      <c r="U437" s="22"/>
      <c r="V437" s="24" t="s">
        <v>345</v>
      </c>
      <c r="W437" s="24"/>
      <c r="X437" s="22"/>
      <c r="Y437" s="52" t="s">
        <v>346</v>
      </c>
      <c r="Z437" s="22"/>
    </row>
    <row r="438" spans="1:26" ht="15" customHeight="1" x14ac:dyDescent="0.3">
      <c r="A438" s="11" t="s">
        <v>557</v>
      </c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4"/>
      <c r="R438" s="47">
        <v>986.3</v>
      </c>
      <c r="S438" s="14"/>
      <c r="T438" s="47">
        <v>0</v>
      </c>
      <c r="U438" s="14"/>
      <c r="V438" s="48">
        <v>0</v>
      </c>
      <c r="W438" s="48"/>
      <c r="X438" s="14"/>
      <c r="Y438" s="14"/>
      <c r="Z438" s="14"/>
    </row>
    <row r="439" spans="1:26" ht="18" customHeight="1" x14ac:dyDescent="0.3">
      <c r="A439" s="34">
        <v>986.3</v>
      </c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22"/>
      <c r="R439" s="30">
        <v>986.3</v>
      </c>
      <c r="S439" s="22"/>
      <c r="T439" s="30">
        <v>0</v>
      </c>
      <c r="U439" s="22"/>
      <c r="V439" s="29">
        <v>0</v>
      </c>
      <c r="W439" s="29"/>
      <c r="X439" s="22"/>
      <c r="Y439" s="22"/>
      <c r="Z439" s="22"/>
    </row>
    <row r="440" spans="1:26" ht="12" customHeight="1" x14ac:dyDescent="0.3">
      <c r="A440" s="40" t="s">
        <v>558</v>
      </c>
      <c r="B440" s="40"/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50"/>
      <c r="R440" s="50"/>
      <c r="S440" s="50"/>
      <c r="T440" s="50"/>
      <c r="U440" s="50"/>
      <c r="V440" s="41"/>
      <c r="W440" s="41"/>
      <c r="X440" s="50"/>
      <c r="Y440" s="50"/>
      <c r="Z440" s="14"/>
    </row>
    <row r="441" spans="1:26" ht="25.05" customHeight="1" x14ac:dyDescent="0.3">
      <c r="A441" s="74" t="s">
        <v>380</v>
      </c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22"/>
      <c r="R441" s="25" t="s">
        <v>343</v>
      </c>
      <c r="S441" s="22"/>
      <c r="T441" s="25" t="s">
        <v>344</v>
      </c>
      <c r="U441" s="22"/>
      <c r="V441" s="24" t="s">
        <v>345</v>
      </c>
      <c r="W441" s="24"/>
      <c r="X441" s="22"/>
      <c r="Y441" s="52" t="s">
        <v>346</v>
      </c>
      <c r="Z441" s="22"/>
    </row>
    <row r="442" spans="1:26" ht="16.05" customHeight="1" x14ac:dyDescent="0.3">
      <c r="A442" s="11" t="s">
        <v>559</v>
      </c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4"/>
      <c r="R442" s="46">
        <v>1972.6</v>
      </c>
      <c r="S442" s="14"/>
      <c r="T442" s="47">
        <v>0</v>
      </c>
      <c r="U442" s="14"/>
      <c r="V442" s="48">
        <v>0</v>
      </c>
      <c r="W442" s="48"/>
      <c r="X442" s="14"/>
      <c r="Y442" s="14"/>
      <c r="Z442" s="14"/>
    </row>
    <row r="443" spans="1:26" ht="18" customHeight="1" x14ac:dyDescent="0.3">
      <c r="A443" s="80">
        <v>1972.6</v>
      </c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22"/>
      <c r="R443" s="39">
        <v>1972.6</v>
      </c>
      <c r="S443" s="22"/>
      <c r="T443" s="30">
        <v>0</v>
      </c>
      <c r="U443" s="22"/>
      <c r="V443" s="29">
        <v>0</v>
      </c>
      <c r="W443" s="29"/>
      <c r="X443" s="22"/>
      <c r="Y443" s="22"/>
      <c r="Z443" s="22"/>
    </row>
    <row r="444" spans="1:26" ht="11.25" customHeight="1" x14ac:dyDescent="0.3">
      <c r="A444" s="40" t="s">
        <v>560</v>
      </c>
      <c r="B444" s="40"/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50"/>
      <c r="R444" s="50"/>
      <c r="S444" s="50"/>
      <c r="T444" s="50"/>
      <c r="U444" s="50"/>
      <c r="V444" s="41"/>
      <c r="W444" s="41"/>
      <c r="X444" s="50"/>
      <c r="Y444" s="50"/>
      <c r="Z444" s="14"/>
    </row>
    <row r="445" spans="1:26" ht="25.95" customHeight="1" x14ac:dyDescent="0.3">
      <c r="A445" s="74" t="s">
        <v>380</v>
      </c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22"/>
      <c r="R445" s="25" t="s">
        <v>343</v>
      </c>
      <c r="S445" s="22"/>
      <c r="T445" s="25" t="s">
        <v>344</v>
      </c>
      <c r="U445" s="22"/>
      <c r="V445" s="24" t="s">
        <v>345</v>
      </c>
      <c r="W445" s="24"/>
      <c r="X445" s="22"/>
      <c r="Y445" s="52" t="s">
        <v>346</v>
      </c>
      <c r="Z445" s="22"/>
    </row>
    <row r="446" spans="1:26" ht="15" customHeight="1" x14ac:dyDescent="0.3">
      <c r="A446" s="11" t="s">
        <v>561</v>
      </c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4"/>
      <c r="R446" s="46">
        <v>7643.84</v>
      </c>
      <c r="S446" s="14"/>
      <c r="T446" s="47">
        <v>0</v>
      </c>
      <c r="U446" s="14"/>
      <c r="V446" s="48">
        <v>0</v>
      </c>
      <c r="W446" s="48"/>
      <c r="X446" s="14"/>
      <c r="Y446" s="14"/>
      <c r="Z446" s="14"/>
    </row>
    <row r="447" spans="1:26" ht="18" customHeight="1" x14ac:dyDescent="0.3">
      <c r="A447" s="80">
        <v>7643.84</v>
      </c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22"/>
      <c r="R447" s="39">
        <v>7643.84</v>
      </c>
      <c r="S447" s="22"/>
      <c r="T447" s="30">
        <v>0</v>
      </c>
      <c r="U447" s="22"/>
      <c r="V447" s="29">
        <v>0</v>
      </c>
      <c r="W447" s="29"/>
      <c r="X447" s="22"/>
      <c r="Y447" s="22"/>
      <c r="Z447" s="22"/>
    </row>
    <row r="448" spans="1:26" ht="12" customHeight="1" x14ac:dyDescent="0.3">
      <c r="A448" s="40" t="s">
        <v>562</v>
      </c>
      <c r="B448" s="40"/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50"/>
      <c r="R448" s="50"/>
      <c r="S448" s="50"/>
      <c r="T448" s="50"/>
      <c r="U448" s="50"/>
      <c r="V448" s="41"/>
      <c r="W448" s="41"/>
      <c r="X448" s="50"/>
      <c r="Y448" s="50"/>
      <c r="Z448" s="14"/>
    </row>
    <row r="449" spans="1:26" ht="25.05" customHeight="1" x14ac:dyDescent="0.3">
      <c r="A449" s="74" t="s">
        <v>380</v>
      </c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22"/>
      <c r="R449" s="25" t="s">
        <v>343</v>
      </c>
      <c r="S449" s="22"/>
      <c r="T449" s="25" t="s">
        <v>344</v>
      </c>
      <c r="U449" s="22"/>
      <c r="V449" s="24" t="s">
        <v>345</v>
      </c>
      <c r="W449" s="24"/>
      <c r="X449" s="22"/>
      <c r="Y449" s="52" t="s">
        <v>346</v>
      </c>
      <c r="Z449" s="22"/>
    </row>
    <row r="450" spans="1:26" ht="16.05" customHeight="1" x14ac:dyDescent="0.3">
      <c r="A450" s="11" t="s">
        <v>563</v>
      </c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4"/>
      <c r="R450" s="47">
        <v>986.3</v>
      </c>
      <c r="S450" s="14"/>
      <c r="T450" s="47">
        <v>0</v>
      </c>
      <c r="U450" s="14"/>
      <c r="V450" s="48">
        <v>0</v>
      </c>
      <c r="W450" s="48"/>
      <c r="X450" s="14"/>
      <c r="Y450" s="14"/>
      <c r="Z450" s="14"/>
    </row>
    <row r="451" spans="1:26" ht="18" customHeight="1" x14ac:dyDescent="0.3">
      <c r="A451" s="34">
        <v>986.3</v>
      </c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22"/>
      <c r="R451" s="30">
        <v>986.3</v>
      </c>
      <c r="S451" s="22"/>
      <c r="T451" s="30">
        <v>0</v>
      </c>
      <c r="U451" s="22"/>
      <c r="V451" s="29">
        <v>0</v>
      </c>
      <c r="W451" s="29"/>
      <c r="X451" s="22"/>
      <c r="Y451" s="22"/>
      <c r="Z451" s="22"/>
    </row>
    <row r="452" spans="1:26" ht="11.25" customHeight="1" x14ac:dyDescent="0.3">
      <c r="A452" s="40" t="s">
        <v>564</v>
      </c>
      <c r="B452" s="40"/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50"/>
      <c r="R452" s="50"/>
      <c r="S452" s="50"/>
      <c r="T452" s="50"/>
      <c r="U452" s="50"/>
      <c r="V452" s="41"/>
      <c r="W452" s="41"/>
      <c r="X452" s="50"/>
      <c r="Y452" s="50"/>
      <c r="Z452" s="14"/>
    </row>
    <row r="453" spans="1:26" ht="25.95" customHeight="1" x14ac:dyDescent="0.3">
      <c r="A453" s="74" t="s">
        <v>380</v>
      </c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22"/>
      <c r="R453" s="25" t="s">
        <v>343</v>
      </c>
      <c r="S453" s="22"/>
      <c r="T453" s="25" t="s">
        <v>344</v>
      </c>
      <c r="U453" s="22"/>
      <c r="V453" s="24" t="s">
        <v>345</v>
      </c>
      <c r="W453" s="24"/>
      <c r="X453" s="22"/>
      <c r="Y453" s="52" t="s">
        <v>346</v>
      </c>
      <c r="Z453" s="22"/>
    </row>
    <row r="454" spans="1:26" ht="15" customHeight="1" x14ac:dyDescent="0.3">
      <c r="A454" s="11" t="s">
        <v>565</v>
      </c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4"/>
      <c r="R454" s="46">
        <v>7643.84</v>
      </c>
      <c r="S454" s="14"/>
      <c r="T454" s="47">
        <v>0</v>
      </c>
      <c r="U454" s="14"/>
      <c r="V454" s="48">
        <v>0</v>
      </c>
      <c r="W454" s="48"/>
      <c r="X454" s="14"/>
      <c r="Y454" s="14"/>
      <c r="Z454" s="14"/>
    </row>
    <row r="455" spans="1:26" ht="11.25" customHeight="1" x14ac:dyDescent="0.3">
      <c r="A455" s="80">
        <v>7643.84</v>
      </c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14"/>
      <c r="R455" s="39">
        <v>7643.84</v>
      </c>
      <c r="S455" s="14"/>
      <c r="T455" s="30">
        <v>0</v>
      </c>
      <c r="U455" s="14"/>
      <c r="V455" s="29">
        <v>0</v>
      </c>
      <c r="W455" s="29"/>
      <c r="X455" s="14"/>
      <c r="Y455" s="14"/>
      <c r="Z455" s="14"/>
    </row>
    <row r="456" spans="1:26" ht="11.25" customHeight="1" x14ac:dyDescent="0.3">
      <c r="A456" s="14"/>
      <c r="B456" s="20" t="s">
        <v>566</v>
      </c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</row>
    <row r="457" spans="1:26" ht="6" customHeight="1" x14ac:dyDescent="0.3">
      <c r="A457" s="14"/>
      <c r="B457" s="14"/>
      <c r="C457" s="18"/>
      <c r="D457" s="18"/>
      <c r="E457" s="18"/>
      <c r="F457" s="18"/>
      <c r="G457" s="18"/>
      <c r="H457" s="14"/>
      <c r="I457" s="18"/>
      <c r="J457" s="18"/>
      <c r="K457" s="14"/>
      <c r="L457" s="14"/>
      <c r="M457" s="18"/>
      <c r="N457" s="18"/>
      <c r="O457" s="18"/>
      <c r="P457" s="18"/>
      <c r="Q457" s="14"/>
      <c r="R457" s="14"/>
      <c r="S457" s="14"/>
      <c r="T457" s="14"/>
      <c r="U457" s="14"/>
      <c r="V457" s="18"/>
      <c r="W457" s="18"/>
      <c r="X457" s="14"/>
      <c r="Y457" s="14"/>
      <c r="Z457" s="14"/>
    </row>
    <row r="458" spans="1:26" ht="35.549999999999997" customHeight="1" x14ac:dyDescent="0.3">
      <c r="A458" s="63" t="s">
        <v>567</v>
      </c>
      <c r="B458" s="63"/>
      <c r="C458" s="63"/>
      <c r="D458" s="63"/>
      <c r="E458" s="63"/>
      <c r="F458" s="63"/>
      <c r="G458" s="63"/>
      <c r="H458" s="64"/>
      <c r="I458" s="63" t="s">
        <v>356</v>
      </c>
      <c r="J458" s="63"/>
      <c r="K458" s="63"/>
      <c r="L458" s="64"/>
      <c r="M458" s="65" t="s">
        <v>568</v>
      </c>
      <c r="N458" s="65"/>
      <c r="O458" s="65"/>
      <c r="P458" s="65"/>
      <c r="Q458" s="64"/>
      <c r="R458" s="66" t="s">
        <v>569</v>
      </c>
      <c r="S458" s="64"/>
      <c r="T458" s="66" t="s">
        <v>570</v>
      </c>
      <c r="U458" s="64"/>
      <c r="V458" s="65" t="s">
        <v>360</v>
      </c>
      <c r="W458" s="65"/>
      <c r="X458" s="64"/>
      <c r="Y458" s="67" t="s">
        <v>346</v>
      </c>
      <c r="Z458" s="64"/>
    </row>
    <row r="459" spans="1:26" ht="18" customHeight="1" x14ac:dyDescent="0.3">
      <c r="A459" s="38"/>
      <c r="B459" s="38"/>
      <c r="C459" s="38"/>
      <c r="D459" s="38"/>
      <c r="E459" s="38"/>
      <c r="F459" s="38"/>
      <c r="G459" s="38"/>
      <c r="H459" s="22"/>
      <c r="I459" s="38"/>
      <c r="J459" s="38"/>
      <c r="K459" s="38"/>
      <c r="L459" s="22"/>
      <c r="M459" s="29">
        <v>0</v>
      </c>
      <c r="N459" s="29"/>
      <c r="O459" s="29"/>
      <c r="P459" s="29"/>
      <c r="Q459" s="22"/>
      <c r="R459" s="39">
        <v>1547.91</v>
      </c>
      <c r="S459" s="22"/>
      <c r="T459" s="39">
        <v>-1547.91</v>
      </c>
      <c r="U459" s="22"/>
      <c r="V459" s="29">
        <v>0</v>
      </c>
      <c r="W459" s="29"/>
      <c r="X459" s="22"/>
      <c r="Y459" s="22"/>
      <c r="Z459" s="22"/>
    </row>
    <row r="460" spans="1:26" ht="11.25" customHeight="1" x14ac:dyDescent="0.3">
      <c r="A460" s="58">
        <v>1142</v>
      </c>
      <c r="B460" s="58"/>
      <c r="C460" s="68" t="s">
        <v>571</v>
      </c>
      <c r="D460" s="68"/>
      <c r="E460" s="68"/>
      <c r="F460" s="68"/>
      <c r="G460" s="68"/>
      <c r="H460" s="68"/>
      <c r="I460" s="68"/>
      <c r="J460" s="68"/>
      <c r="K460" s="50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14"/>
    </row>
    <row r="461" spans="1:26" ht="25.95" customHeight="1" x14ac:dyDescent="0.3">
      <c r="A461" s="38"/>
      <c r="B461" s="38"/>
      <c r="C461" s="69" t="s">
        <v>340</v>
      </c>
      <c r="D461" s="69"/>
      <c r="E461" s="69"/>
      <c r="F461" s="69"/>
      <c r="G461" s="69"/>
      <c r="H461" s="69"/>
      <c r="I461" s="69"/>
      <c r="J461" s="69"/>
      <c r="K461" s="70" t="s">
        <v>341</v>
      </c>
      <c r="L461" s="43" t="s">
        <v>342</v>
      </c>
      <c r="M461" s="43"/>
      <c r="N461" s="43"/>
      <c r="O461" s="43"/>
      <c r="P461" s="43"/>
      <c r="Q461" s="43" t="s">
        <v>343</v>
      </c>
      <c r="R461" s="43"/>
      <c r="S461" s="10" t="s">
        <v>344</v>
      </c>
      <c r="T461" s="10"/>
      <c r="U461" s="43" t="s">
        <v>345</v>
      </c>
      <c r="V461" s="43"/>
      <c r="W461" s="43"/>
      <c r="X461" s="44" t="s">
        <v>346</v>
      </c>
      <c r="Y461" s="44"/>
      <c r="Z461" s="22"/>
    </row>
    <row r="462" spans="1:26" ht="16.05" customHeight="1" x14ac:dyDescent="0.3">
      <c r="A462" s="11" t="s">
        <v>572</v>
      </c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4"/>
      <c r="M462" s="48">
        <v>0</v>
      </c>
      <c r="N462" s="48"/>
      <c r="O462" s="48"/>
      <c r="P462" s="48"/>
      <c r="Q462" s="14"/>
      <c r="R462" s="47">
        <v>775.92</v>
      </c>
      <c r="S462" s="14"/>
      <c r="T462" s="47">
        <v>-775.92</v>
      </c>
      <c r="U462" s="14"/>
      <c r="V462" s="48">
        <v>0</v>
      </c>
      <c r="W462" s="48"/>
      <c r="X462" s="14"/>
      <c r="Y462" s="14"/>
      <c r="Z462" s="14"/>
    </row>
    <row r="463" spans="1:26" ht="18" customHeight="1" x14ac:dyDescent="0.3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22"/>
      <c r="M463" s="29">
        <v>0</v>
      </c>
      <c r="N463" s="29"/>
      <c r="O463" s="29"/>
      <c r="P463" s="29"/>
      <c r="Q463" s="22"/>
      <c r="R463" s="30">
        <v>775.92</v>
      </c>
      <c r="S463" s="22"/>
      <c r="T463" s="30">
        <v>-775.92</v>
      </c>
      <c r="U463" s="22"/>
      <c r="V463" s="29">
        <v>0</v>
      </c>
      <c r="W463" s="29"/>
      <c r="X463" s="22"/>
      <c r="Y463" s="22"/>
      <c r="Z463" s="22"/>
    </row>
    <row r="464" spans="1:26" ht="11.25" customHeight="1" x14ac:dyDescent="0.3">
      <c r="A464" s="40" t="s">
        <v>573</v>
      </c>
      <c r="B464" s="40"/>
      <c r="C464" s="40"/>
      <c r="D464" s="40"/>
      <c r="E464" s="40"/>
      <c r="F464" s="40"/>
      <c r="G464" s="40"/>
      <c r="H464" s="40"/>
      <c r="I464" s="40"/>
      <c r="J464" s="40"/>
      <c r="K464" s="40"/>
      <c r="L464" s="50"/>
      <c r="M464" s="41"/>
      <c r="N464" s="41"/>
      <c r="O464" s="41"/>
      <c r="P464" s="41"/>
      <c r="Q464" s="50"/>
      <c r="R464" s="50"/>
      <c r="S464" s="50"/>
      <c r="T464" s="50"/>
      <c r="U464" s="50"/>
      <c r="V464" s="41"/>
      <c r="W464" s="41"/>
      <c r="X464" s="50"/>
      <c r="Y464" s="50"/>
      <c r="Z464" s="14"/>
    </row>
    <row r="465" spans="1:26" ht="25.05" customHeight="1" x14ac:dyDescent="0.3">
      <c r="A465" s="74" t="s">
        <v>365</v>
      </c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22"/>
      <c r="M465" s="24" t="s">
        <v>342</v>
      </c>
      <c r="N465" s="24"/>
      <c r="O465" s="24"/>
      <c r="P465" s="24"/>
      <c r="Q465" s="22"/>
      <c r="R465" s="25" t="s">
        <v>343</v>
      </c>
      <c r="S465" s="22"/>
      <c r="T465" s="25" t="s">
        <v>344</v>
      </c>
      <c r="U465" s="22"/>
      <c r="V465" s="24" t="s">
        <v>345</v>
      </c>
      <c r="W465" s="24"/>
      <c r="X465" s="22"/>
      <c r="Y465" s="52" t="s">
        <v>346</v>
      </c>
      <c r="Z465" s="22"/>
    </row>
    <row r="466" spans="1:26" ht="16.05" customHeight="1" x14ac:dyDescent="0.3">
      <c r="A466" s="11" t="s">
        <v>574</v>
      </c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4"/>
      <c r="M466" s="48">
        <v>0</v>
      </c>
      <c r="N466" s="48"/>
      <c r="O466" s="48"/>
      <c r="P466" s="48"/>
      <c r="Q466" s="14"/>
      <c r="R466" s="47">
        <v>387.37</v>
      </c>
      <c r="S466" s="14"/>
      <c r="T466" s="47">
        <v>-387.37</v>
      </c>
      <c r="U466" s="14"/>
      <c r="V466" s="48">
        <v>0</v>
      </c>
      <c r="W466" s="48"/>
      <c r="X466" s="14"/>
      <c r="Y466" s="14"/>
      <c r="Z466" s="14"/>
    </row>
    <row r="467" spans="1:26" ht="18" customHeight="1" x14ac:dyDescent="0.3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22"/>
      <c r="M467" s="29">
        <v>0</v>
      </c>
      <c r="N467" s="29"/>
      <c r="O467" s="29"/>
      <c r="P467" s="29"/>
      <c r="Q467" s="22"/>
      <c r="R467" s="30">
        <v>387.37</v>
      </c>
      <c r="S467" s="22"/>
      <c r="T467" s="30">
        <v>-387.37</v>
      </c>
      <c r="U467" s="22"/>
      <c r="V467" s="29">
        <v>0</v>
      </c>
      <c r="W467" s="29"/>
      <c r="X467" s="22"/>
      <c r="Y467" s="22"/>
      <c r="Z467" s="22"/>
    </row>
    <row r="468" spans="1:26" ht="11.25" customHeight="1" x14ac:dyDescent="0.3">
      <c r="A468" s="58">
        <v>1145</v>
      </c>
      <c r="B468" s="58"/>
      <c r="C468" s="68" t="s">
        <v>575</v>
      </c>
      <c r="D468" s="68"/>
      <c r="E468" s="68"/>
      <c r="F468" s="68"/>
      <c r="G468" s="68"/>
      <c r="H468" s="68"/>
      <c r="I468" s="68"/>
      <c r="J468" s="68"/>
      <c r="K468" s="50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14"/>
    </row>
    <row r="469" spans="1:26" ht="25.95" customHeight="1" x14ac:dyDescent="0.3">
      <c r="A469" s="38"/>
      <c r="B469" s="38"/>
      <c r="C469" s="69" t="s">
        <v>340</v>
      </c>
      <c r="D469" s="69"/>
      <c r="E469" s="69"/>
      <c r="F469" s="69"/>
      <c r="G469" s="69"/>
      <c r="H469" s="69"/>
      <c r="I469" s="69"/>
      <c r="J469" s="69"/>
      <c r="K469" s="70" t="s">
        <v>341</v>
      </c>
      <c r="L469" s="43" t="s">
        <v>342</v>
      </c>
      <c r="M469" s="43"/>
      <c r="N469" s="43"/>
      <c r="O469" s="43"/>
      <c r="P469" s="43"/>
      <c r="Q469" s="43" t="s">
        <v>343</v>
      </c>
      <c r="R469" s="43"/>
      <c r="S469" s="10" t="s">
        <v>344</v>
      </c>
      <c r="T469" s="10"/>
      <c r="U469" s="43" t="s">
        <v>345</v>
      </c>
      <c r="V469" s="43"/>
      <c r="W469" s="43"/>
      <c r="X469" s="44" t="s">
        <v>346</v>
      </c>
      <c r="Y469" s="44"/>
      <c r="Z469" s="22"/>
    </row>
    <row r="470" spans="1:26" ht="13.05" customHeight="1" x14ac:dyDescent="0.3">
      <c r="A470" s="11" t="s">
        <v>576</v>
      </c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4"/>
      <c r="M470" s="29">
        <v>382.19</v>
      </c>
      <c r="N470" s="29"/>
      <c r="O470" s="29"/>
      <c r="P470" s="29"/>
      <c r="Q470" s="14"/>
      <c r="R470" s="30">
        <v>382.19</v>
      </c>
      <c r="S470" s="14"/>
      <c r="T470" s="30">
        <v>0</v>
      </c>
      <c r="U470" s="14"/>
      <c r="V470" s="29">
        <v>0</v>
      </c>
      <c r="W470" s="29"/>
      <c r="X470" s="14"/>
      <c r="Y470" s="14"/>
      <c r="Z470" s="14"/>
    </row>
    <row r="471" spans="1:26" ht="15" customHeight="1" x14ac:dyDescent="0.3">
      <c r="A471" s="11" t="s">
        <v>577</v>
      </c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4"/>
      <c r="M471" s="36">
        <v>76.44</v>
      </c>
      <c r="N471" s="36"/>
      <c r="O471" s="36"/>
      <c r="P471" s="36"/>
      <c r="Q471" s="14"/>
      <c r="R471" s="37">
        <v>76.44</v>
      </c>
      <c r="S471" s="14"/>
      <c r="T471" s="37">
        <v>0</v>
      </c>
      <c r="U471" s="14"/>
      <c r="V471" s="36">
        <v>0</v>
      </c>
      <c r="W471" s="36"/>
      <c r="X471" s="14"/>
      <c r="Y471" s="14"/>
      <c r="Z471" s="14"/>
    </row>
    <row r="472" spans="1:26" ht="18" customHeight="1" x14ac:dyDescent="0.3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22"/>
      <c r="M472" s="29">
        <v>458.63</v>
      </c>
      <c r="N472" s="29"/>
      <c r="O472" s="29"/>
      <c r="P472" s="29"/>
      <c r="Q472" s="22"/>
      <c r="R472" s="30">
        <v>458.63</v>
      </c>
      <c r="S472" s="22"/>
      <c r="T472" s="30">
        <v>0</v>
      </c>
      <c r="U472" s="22"/>
      <c r="V472" s="29">
        <v>0</v>
      </c>
      <c r="W472" s="29"/>
      <c r="X472" s="22"/>
      <c r="Y472" s="22"/>
      <c r="Z472" s="22"/>
    </row>
    <row r="473" spans="1:26" ht="11.25" customHeight="1" x14ac:dyDescent="0.3">
      <c r="A473" s="40" t="s">
        <v>578</v>
      </c>
      <c r="B473" s="40"/>
      <c r="C473" s="40"/>
      <c r="D473" s="40"/>
      <c r="E473" s="40"/>
      <c r="F473" s="40"/>
      <c r="G473" s="40"/>
      <c r="H473" s="40"/>
      <c r="I473" s="40"/>
      <c r="J473" s="40"/>
      <c r="K473" s="40"/>
      <c r="L473" s="50"/>
      <c r="M473" s="41"/>
      <c r="N473" s="41"/>
      <c r="O473" s="41"/>
      <c r="P473" s="41"/>
      <c r="Q473" s="50"/>
      <c r="R473" s="50"/>
      <c r="S473" s="50"/>
      <c r="T473" s="50"/>
      <c r="U473" s="50"/>
      <c r="V473" s="41"/>
      <c r="W473" s="41"/>
      <c r="X473" s="50"/>
      <c r="Y473" s="50"/>
      <c r="Z473" s="14"/>
    </row>
    <row r="474" spans="1:26" ht="25.05" customHeight="1" x14ac:dyDescent="0.3">
      <c r="A474" s="74" t="s">
        <v>365</v>
      </c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22"/>
      <c r="M474" s="24" t="s">
        <v>342</v>
      </c>
      <c r="N474" s="24"/>
      <c r="O474" s="24"/>
      <c r="P474" s="24"/>
      <c r="Q474" s="22"/>
      <c r="R474" s="25" t="s">
        <v>343</v>
      </c>
      <c r="S474" s="22"/>
      <c r="T474" s="25" t="s">
        <v>344</v>
      </c>
      <c r="U474" s="22"/>
      <c r="V474" s="24" t="s">
        <v>345</v>
      </c>
      <c r="W474" s="24"/>
      <c r="X474" s="22"/>
      <c r="Y474" s="52" t="s">
        <v>346</v>
      </c>
      <c r="Z474" s="22"/>
    </row>
    <row r="475" spans="1:26" ht="16.05" customHeight="1" x14ac:dyDescent="0.3">
      <c r="A475" s="11" t="s">
        <v>579</v>
      </c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4"/>
      <c r="M475" s="76">
        <v>3287.67</v>
      </c>
      <c r="N475" s="76"/>
      <c r="O475" s="76"/>
      <c r="P475" s="76"/>
      <c r="Q475" s="14"/>
      <c r="R475" s="46">
        <v>3287.67</v>
      </c>
      <c r="S475" s="14"/>
      <c r="T475" s="47">
        <v>0</v>
      </c>
      <c r="U475" s="14"/>
      <c r="V475" s="48">
        <v>0</v>
      </c>
      <c r="W475" s="48"/>
      <c r="X475" s="14"/>
      <c r="Y475" s="14"/>
      <c r="Z475" s="14"/>
    </row>
    <row r="476" spans="1:26" ht="18" customHeight="1" x14ac:dyDescent="0.3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22"/>
      <c r="M476" s="77">
        <v>3287.67</v>
      </c>
      <c r="N476" s="77"/>
      <c r="O476" s="77"/>
      <c r="P476" s="77"/>
      <c r="Q476" s="22"/>
      <c r="R476" s="39">
        <v>3287.67</v>
      </c>
      <c r="S476" s="22"/>
      <c r="T476" s="30">
        <v>0</v>
      </c>
      <c r="U476" s="22"/>
      <c r="V476" s="29">
        <v>0</v>
      </c>
      <c r="W476" s="29"/>
      <c r="X476" s="22"/>
      <c r="Y476" s="22"/>
      <c r="Z476" s="22"/>
    </row>
    <row r="477" spans="1:26" ht="11.25" customHeight="1" x14ac:dyDescent="0.3">
      <c r="A477" s="58">
        <v>1147</v>
      </c>
      <c r="B477" s="58"/>
      <c r="C477" s="68" t="s">
        <v>580</v>
      </c>
      <c r="D477" s="68"/>
      <c r="E477" s="68"/>
      <c r="F477" s="68"/>
      <c r="G477" s="68"/>
      <c r="H477" s="68"/>
      <c r="I477" s="68"/>
      <c r="J477" s="68"/>
      <c r="K477" s="50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14"/>
    </row>
    <row r="478" spans="1:26" ht="25.95" customHeight="1" x14ac:dyDescent="0.3">
      <c r="A478" s="38"/>
      <c r="B478" s="38"/>
      <c r="C478" s="69" t="s">
        <v>340</v>
      </c>
      <c r="D478" s="69"/>
      <c r="E478" s="69"/>
      <c r="F478" s="69"/>
      <c r="G478" s="69"/>
      <c r="H478" s="69"/>
      <c r="I478" s="69"/>
      <c r="J478" s="69"/>
      <c r="K478" s="70" t="s">
        <v>341</v>
      </c>
      <c r="L478" s="43" t="s">
        <v>342</v>
      </c>
      <c r="M478" s="43"/>
      <c r="N478" s="43"/>
      <c r="O478" s="43"/>
      <c r="P478" s="43"/>
      <c r="Q478" s="43" t="s">
        <v>343</v>
      </c>
      <c r="R478" s="43"/>
      <c r="S478" s="10" t="s">
        <v>344</v>
      </c>
      <c r="T478" s="10"/>
      <c r="U478" s="43" t="s">
        <v>345</v>
      </c>
      <c r="V478" s="43"/>
      <c r="W478" s="43"/>
      <c r="X478" s="44" t="s">
        <v>346</v>
      </c>
      <c r="Y478" s="44"/>
      <c r="Z478" s="22"/>
    </row>
    <row r="479" spans="1:26" ht="13.05" customHeight="1" x14ac:dyDescent="0.3">
      <c r="A479" s="11" t="s">
        <v>581</v>
      </c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4"/>
      <c r="R479" s="30">
        <v>287.67</v>
      </c>
      <c r="S479" s="14"/>
      <c r="T479" s="30">
        <v>0</v>
      </c>
      <c r="U479" s="14"/>
      <c r="V479" s="29">
        <v>0</v>
      </c>
      <c r="W479" s="29"/>
      <c r="X479" s="14"/>
      <c r="Y479" s="14"/>
      <c r="Z479" s="14"/>
    </row>
    <row r="480" spans="1:26" ht="15" customHeight="1" x14ac:dyDescent="0.3">
      <c r="A480" s="11" t="s">
        <v>582</v>
      </c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4"/>
      <c r="R480" s="37">
        <v>363.09</v>
      </c>
      <c r="S480" s="14"/>
      <c r="T480" s="37">
        <v>-363.09</v>
      </c>
      <c r="U480" s="14"/>
      <c r="V480" s="36">
        <v>0</v>
      </c>
      <c r="W480" s="36"/>
      <c r="X480" s="14"/>
      <c r="Y480" s="14"/>
      <c r="Z480" s="14"/>
    </row>
    <row r="481" spans="1:26" ht="18" customHeight="1" x14ac:dyDescent="0.3">
      <c r="A481" s="34">
        <v>287.67</v>
      </c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22"/>
      <c r="R481" s="30">
        <v>650.76</v>
      </c>
      <c r="S481" s="22"/>
      <c r="T481" s="30">
        <v>-363.09</v>
      </c>
      <c r="U481" s="22"/>
      <c r="V481" s="29">
        <v>0</v>
      </c>
      <c r="W481" s="29"/>
      <c r="X481" s="22"/>
      <c r="Y481" s="22"/>
      <c r="Z481" s="22"/>
    </row>
    <row r="482" spans="1:26" ht="11.25" customHeight="1" x14ac:dyDescent="0.3">
      <c r="A482" s="40" t="s">
        <v>583</v>
      </c>
      <c r="B482" s="40"/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50"/>
      <c r="R482" s="50"/>
      <c r="S482" s="50"/>
      <c r="T482" s="50"/>
      <c r="U482" s="50"/>
      <c r="V482" s="41"/>
      <c r="W482" s="41"/>
      <c r="X482" s="50"/>
      <c r="Y482" s="50"/>
      <c r="Z482" s="14"/>
    </row>
    <row r="483" spans="1:26" ht="25.05" customHeight="1" x14ac:dyDescent="0.3">
      <c r="A483" s="74" t="s">
        <v>380</v>
      </c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22"/>
      <c r="R483" s="25" t="s">
        <v>343</v>
      </c>
      <c r="S483" s="22"/>
      <c r="T483" s="25" t="s">
        <v>344</v>
      </c>
      <c r="U483" s="22"/>
      <c r="V483" s="24" t="s">
        <v>345</v>
      </c>
      <c r="W483" s="24"/>
      <c r="X483" s="22"/>
      <c r="Y483" s="52" t="s">
        <v>346</v>
      </c>
      <c r="Z483" s="22"/>
    </row>
    <row r="484" spans="1:26" ht="16.05" customHeight="1" x14ac:dyDescent="0.3">
      <c r="A484" s="11" t="s">
        <v>584</v>
      </c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4"/>
      <c r="R484" s="47">
        <v>382.19</v>
      </c>
      <c r="S484" s="14"/>
      <c r="T484" s="47">
        <v>0</v>
      </c>
      <c r="U484" s="14"/>
      <c r="V484" s="48">
        <v>0</v>
      </c>
      <c r="W484" s="48"/>
      <c r="X484" s="14"/>
      <c r="Y484" s="14"/>
      <c r="Z484" s="14"/>
    </row>
    <row r="485" spans="1:26" ht="18" customHeight="1" x14ac:dyDescent="0.3">
      <c r="A485" s="34">
        <v>382.19</v>
      </c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22"/>
      <c r="R485" s="30">
        <v>382.19</v>
      </c>
      <c r="S485" s="22"/>
      <c r="T485" s="30">
        <v>0</v>
      </c>
      <c r="U485" s="22"/>
      <c r="V485" s="29">
        <v>0</v>
      </c>
      <c r="W485" s="29"/>
      <c r="X485" s="22"/>
      <c r="Y485" s="22"/>
      <c r="Z485" s="22"/>
    </row>
    <row r="486" spans="1:26" ht="11.25" customHeight="1" x14ac:dyDescent="0.3">
      <c r="A486" s="58">
        <v>1149</v>
      </c>
      <c r="B486" s="58"/>
      <c r="C486" s="68" t="s">
        <v>585</v>
      </c>
      <c r="D486" s="68"/>
      <c r="E486" s="68"/>
      <c r="F486" s="68"/>
      <c r="G486" s="68"/>
      <c r="H486" s="68"/>
      <c r="I486" s="68"/>
      <c r="J486" s="68"/>
      <c r="K486" s="50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14"/>
    </row>
    <row r="487" spans="1:26" ht="25.95" customHeight="1" x14ac:dyDescent="0.3">
      <c r="A487" s="38"/>
      <c r="B487" s="38"/>
      <c r="C487" s="69" t="s">
        <v>340</v>
      </c>
      <c r="D487" s="69"/>
      <c r="E487" s="69"/>
      <c r="F487" s="69"/>
      <c r="G487" s="69"/>
      <c r="H487" s="69"/>
      <c r="I487" s="69"/>
      <c r="J487" s="69"/>
      <c r="K487" s="70" t="s">
        <v>341</v>
      </c>
      <c r="L487" s="43" t="s">
        <v>342</v>
      </c>
      <c r="M487" s="43"/>
      <c r="N487" s="43"/>
      <c r="O487" s="43"/>
      <c r="P487" s="43"/>
      <c r="Q487" s="43" t="s">
        <v>343</v>
      </c>
      <c r="R487" s="43"/>
      <c r="S487" s="10" t="s">
        <v>344</v>
      </c>
      <c r="T487" s="10"/>
      <c r="U487" s="43" t="s">
        <v>345</v>
      </c>
      <c r="V487" s="43"/>
      <c r="W487" s="43"/>
      <c r="X487" s="44" t="s">
        <v>346</v>
      </c>
      <c r="Y487" s="44"/>
      <c r="Z487" s="22"/>
    </row>
    <row r="488" spans="1:26" ht="13.05" customHeight="1" x14ac:dyDescent="0.3">
      <c r="A488" s="11" t="s">
        <v>586</v>
      </c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4"/>
      <c r="M488" s="29">
        <v>0</v>
      </c>
      <c r="N488" s="29"/>
      <c r="O488" s="29"/>
      <c r="P488" s="29"/>
      <c r="Q488" s="14"/>
      <c r="R488" s="39">
        <v>1001.04</v>
      </c>
      <c r="S488" s="14"/>
      <c r="T488" s="39">
        <v>-1001.04</v>
      </c>
      <c r="U488" s="14"/>
      <c r="V488" s="29">
        <v>0</v>
      </c>
      <c r="W488" s="29"/>
      <c r="X488" s="14"/>
      <c r="Y488" s="14"/>
      <c r="Z488" s="14"/>
    </row>
    <row r="489" spans="1:26" ht="15" customHeight="1" x14ac:dyDescent="0.3">
      <c r="A489" s="11" t="s">
        <v>587</v>
      </c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4"/>
      <c r="M489" s="36">
        <v>0</v>
      </c>
      <c r="N489" s="36"/>
      <c r="O489" s="36"/>
      <c r="P489" s="36"/>
      <c r="Q489" s="14"/>
      <c r="R489" s="37">
        <v>382.87</v>
      </c>
      <c r="S489" s="14"/>
      <c r="T489" s="37">
        <v>-382.87</v>
      </c>
      <c r="U489" s="14"/>
      <c r="V489" s="36">
        <v>0</v>
      </c>
      <c r="W489" s="36"/>
      <c r="X489" s="14"/>
      <c r="Y489" s="14"/>
      <c r="Z489" s="14"/>
    </row>
    <row r="490" spans="1:26" ht="18" customHeight="1" x14ac:dyDescent="0.3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22"/>
      <c r="M490" s="29">
        <v>0</v>
      </c>
      <c r="N490" s="29"/>
      <c r="O490" s="29"/>
      <c r="P490" s="29"/>
      <c r="Q490" s="22"/>
      <c r="R490" s="39">
        <v>1383.91</v>
      </c>
      <c r="S490" s="22"/>
      <c r="T490" s="39">
        <v>-1383.91</v>
      </c>
      <c r="U490" s="22"/>
      <c r="V490" s="29">
        <v>0</v>
      </c>
      <c r="W490" s="29"/>
      <c r="X490" s="22"/>
      <c r="Y490" s="22"/>
      <c r="Z490" s="22"/>
    </row>
    <row r="491" spans="1:26" ht="11.25" customHeight="1" x14ac:dyDescent="0.3">
      <c r="A491" s="40" t="s">
        <v>588</v>
      </c>
      <c r="B491" s="40"/>
      <c r="C491" s="40"/>
      <c r="D491" s="40"/>
      <c r="E491" s="40"/>
      <c r="F491" s="40"/>
      <c r="G491" s="40"/>
      <c r="H491" s="40"/>
      <c r="I491" s="40"/>
      <c r="J491" s="40"/>
      <c r="K491" s="40"/>
      <c r="L491" s="50"/>
      <c r="M491" s="41"/>
      <c r="N491" s="41"/>
      <c r="O491" s="41"/>
      <c r="P491" s="41"/>
      <c r="Q491" s="50"/>
      <c r="R491" s="50"/>
      <c r="S491" s="50"/>
      <c r="T491" s="50"/>
      <c r="U491" s="50"/>
      <c r="V491" s="41"/>
      <c r="W491" s="41"/>
      <c r="X491" s="50"/>
      <c r="Y491" s="50"/>
      <c r="Z491" s="14"/>
    </row>
    <row r="492" spans="1:26" ht="25.05" customHeight="1" x14ac:dyDescent="0.3">
      <c r="A492" s="74" t="s">
        <v>365</v>
      </c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22"/>
      <c r="M492" s="24" t="s">
        <v>342</v>
      </c>
      <c r="N492" s="24"/>
      <c r="O492" s="24"/>
      <c r="P492" s="24"/>
      <c r="Q492" s="22"/>
      <c r="R492" s="25" t="s">
        <v>343</v>
      </c>
      <c r="S492" s="22"/>
      <c r="T492" s="25" t="s">
        <v>344</v>
      </c>
      <c r="U492" s="22"/>
      <c r="V492" s="24" t="s">
        <v>345</v>
      </c>
      <c r="W492" s="24"/>
      <c r="X492" s="22"/>
      <c r="Y492" s="52" t="s">
        <v>346</v>
      </c>
      <c r="Z492" s="22"/>
    </row>
    <row r="493" spans="1:26" ht="16.05" customHeight="1" x14ac:dyDescent="0.3">
      <c r="A493" s="11" t="s">
        <v>589</v>
      </c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4"/>
      <c r="M493" s="48">
        <v>0</v>
      </c>
      <c r="N493" s="48"/>
      <c r="O493" s="48"/>
      <c r="P493" s="48"/>
      <c r="Q493" s="14"/>
      <c r="R493" s="46">
        <v>4963.93</v>
      </c>
      <c r="S493" s="14"/>
      <c r="T493" s="46">
        <v>-4963.93</v>
      </c>
      <c r="U493" s="14"/>
      <c r="V493" s="48">
        <v>0</v>
      </c>
      <c r="W493" s="48"/>
      <c r="X493" s="14"/>
      <c r="Y493" s="14"/>
      <c r="Z493" s="14"/>
    </row>
    <row r="494" spans="1:26" ht="11.25" customHeight="1" x14ac:dyDescent="0.3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4"/>
      <c r="M494" s="29">
        <v>0</v>
      </c>
      <c r="N494" s="29"/>
      <c r="O494" s="29"/>
      <c r="P494" s="29"/>
      <c r="Q494" s="14"/>
      <c r="R494" s="39">
        <v>4963.93</v>
      </c>
      <c r="S494" s="14"/>
      <c r="T494" s="39">
        <v>-4963.93</v>
      </c>
      <c r="U494" s="14"/>
      <c r="V494" s="29">
        <v>0</v>
      </c>
      <c r="W494" s="29"/>
      <c r="X494" s="14"/>
      <c r="Y494" s="14"/>
      <c r="Z494" s="14"/>
    </row>
    <row r="495" spans="1:26" ht="11.25" customHeight="1" x14ac:dyDescent="0.3">
      <c r="A495" s="14"/>
      <c r="B495" s="20" t="s">
        <v>590</v>
      </c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</row>
    <row r="496" spans="1:26" ht="6" customHeight="1" x14ac:dyDescent="0.3">
      <c r="A496" s="14"/>
      <c r="B496" s="14"/>
      <c r="C496" s="18"/>
      <c r="D496" s="18"/>
      <c r="E496" s="18"/>
      <c r="F496" s="18"/>
      <c r="G496" s="18"/>
      <c r="H496" s="14"/>
      <c r="I496" s="14"/>
      <c r="J496" s="18"/>
      <c r="K496" s="18"/>
      <c r="L496" s="14"/>
      <c r="M496" s="18"/>
      <c r="N496" s="18"/>
      <c r="O496" s="18"/>
      <c r="P496" s="18"/>
      <c r="Q496" s="14"/>
      <c r="R496" s="14"/>
      <c r="S496" s="14"/>
      <c r="T496" s="14"/>
      <c r="U496" s="14"/>
      <c r="V496" s="18"/>
      <c r="W496" s="18"/>
      <c r="X496" s="14"/>
      <c r="Y496" s="14"/>
      <c r="Z496" s="14"/>
    </row>
    <row r="497" spans="1:26" ht="35.549999999999997" customHeight="1" x14ac:dyDescent="0.3">
      <c r="A497" s="63" t="s">
        <v>591</v>
      </c>
      <c r="B497" s="63"/>
      <c r="C497" s="63"/>
      <c r="D497" s="63"/>
      <c r="E497" s="63"/>
      <c r="F497" s="63"/>
      <c r="G497" s="63"/>
      <c r="H497" s="64"/>
      <c r="I497" s="63" t="s">
        <v>356</v>
      </c>
      <c r="J497" s="63"/>
      <c r="K497" s="63"/>
      <c r="L497" s="64"/>
      <c r="M497" s="65" t="s">
        <v>592</v>
      </c>
      <c r="N497" s="65"/>
      <c r="O497" s="65"/>
      <c r="P497" s="65"/>
      <c r="Q497" s="64"/>
      <c r="R497" s="66" t="s">
        <v>593</v>
      </c>
      <c r="S497" s="64"/>
      <c r="T497" s="66" t="s">
        <v>359</v>
      </c>
      <c r="U497" s="64"/>
      <c r="V497" s="65" t="s">
        <v>360</v>
      </c>
      <c r="W497" s="65"/>
      <c r="X497" s="64"/>
      <c r="Y497" s="67" t="s">
        <v>346</v>
      </c>
      <c r="Z497" s="64"/>
    </row>
    <row r="498" spans="1:26" ht="18" customHeight="1" x14ac:dyDescent="0.3">
      <c r="A498" s="38"/>
      <c r="B498" s="38"/>
      <c r="C498" s="38"/>
      <c r="D498" s="38"/>
      <c r="E498" s="38"/>
      <c r="F498" s="38"/>
      <c r="G498" s="38"/>
      <c r="H498" s="22"/>
      <c r="I498" s="38"/>
      <c r="J498" s="38"/>
      <c r="K498" s="38"/>
      <c r="L498" s="22"/>
      <c r="M498" s="77">
        <v>2465.75</v>
      </c>
      <c r="N498" s="77"/>
      <c r="O498" s="77"/>
      <c r="P498" s="77"/>
      <c r="Q498" s="22"/>
      <c r="R498" s="39">
        <v>2465.75</v>
      </c>
      <c r="S498" s="22"/>
      <c r="T498" s="30">
        <v>0</v>
      </c>
      <c r="U498" s="22"/>
      <c r="V498" s="29">
        <v>0</v>
      </c>
      <c r="W498" s="29"/>
      <c r="X498" s="22"/>
      <c r="Y498" s="22"/>
      <c r="Z498" s="22"/>
    </row>
    <row r="499" spans="1:26" ht="11.25" customHeight="1" x14ac:dyDescent="0.3">
      <c r="A499" s="58">
        <v>1152</v>
      </c>
      <c r="B499" s="58"/>
      <c r="C499" s="68" t="s">
        <v>594</v>
      </c>
      <c r="D499" s="68"/>
      <c r="E499" s="68"/>
      <c r="F499" s="68"/>
      <c r="G499" s="68"/>
      <c r="H499" s="68"/>
      <c r="I499" s="68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14"/>
    </row>
    <row r="500" spans="1:26" ht="25.95" customHeight="1" x14ac:dyDescent="0.3">
      <c r="A500" s="38"/>
      <c r="B500" s="38"/>
      <c r="C500" s="69" t="s">
        <v>340</v>
      </c>
      <c r="D500" s="69"/>
      <c r="E500" s="69"/>
      <c r="F500" s="69"/>
      <c r="G500" s="69"/>
      <c r="H500" s="69"/>
      <c r="I500" s="69"/>
      <c r="J500" s="42" t="s">
        <v>341</v>
      </c>
      <c r="K500" s="42"/>
      <c r="L500" s="43" t="s">
        <v>342</v>
      </c>
      <c r="M500" s="43"/>
      <c r="N500" s="43"/>
      <c r="O500" s="43"/>
      <c r="P500" s="43"/>
      <c r="Q500" s="43" t="s">
        <v>343</v>
      </c>
      <c r="R500" s="43"/>
      <c r="S500" s="10" t="s">
        <v>344</v>
      </c>
      <c r="T500" s="10"/>
      <c r="U500" s="43" t="s">
        <v>345</v>
      </c>
      <c r="V500" s="43"/>
      <c r="W500" s="43"/>
      <c r="X500" s="44" t="s">
        <v>346</v>
      </c>
      <c r="Y500" s="44"/>
      <c r="Z500" s="22"/>
    </row>
    <row r="501" spans="1:26" ht="16.05" customHeight="1" x14ac:dyDescent="0.3">
      <c r="A501" s="11" t="s">
        <v>595</v>
      </c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4"/>
      <c r="M501" s="76">
        <v>19726.03</v>
      </c>
      <c r="N501" s="76"/>
      <c r="O501" s="76"/>
      <c r="P501" s="76"/>
      <c r="Q501" s="14"/>
      <c r="R501" s="46">
        <v>19726.03</v>
      </c>
      <c r="S501" s="14"/>
      <c r="T501" s="47">
        <v>0</v>
      </c>
      <c r="U501" s="14"/>
      <c r="V501" s="48">
        <v>0</v>
      </c>
      <c r="W501" s="48"/>
      <c r="X501" s="14"/>
      <c r="Y501" s="14"/>
      <c r="Z501" s="14"/>
    </row>
    <row r="502" spans="1:26" ht="18" customHeight="1" x14ac:dyDescent="0.3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22"/>
      <c r="M502" s="77">
        <v>19726.03</v>
      </c>
      <c r="N502" s="77"/>
      <c r="O502" s="77"/>
      <c r="P502" s="77"/>
      <c r="Q502" s="22"/>
      <c r="R502" s="39">
        <v>19726.03</v>
      </c>
      <c r="S502" s="22"/>
      <c r="T502" s="30">
        <v>0</v>
      </c>
      <c r="U502" s="22"/>
      <c r="V502" s="29">
        <v>0</v>
      </c>
      <c r="W502" s="29"/>
      <c r="X502" s="22"/>
      <c r="Y502" s="22"/>
      <c r="Z502" s="22"/>
    </row>
    <row r="503" spans="1:26" ht="11.25" customHeight="1" x14ac:dyDescent="0.3">
      <c r="A503" s="40" t="s">
        <v>596</v>
      </c>
      <c r="B503" s="40"/>
      <c r="C503" s="40"/>
      <c r="D503" s="40"/>
      <c r="E503" s="40"/>
      <c r="F503" s="40"/>
      <c r="G503" s="40"/>
      <c r="H503" s="40"/>
      <c r="I503" s="40"/>
      <c r="J503" s="40"/>
      <c r="K503" s="40"/>
      <c r="L503" s="50"/>
      <c r="M503" s="41"/>
      <c r="N503" s="41"/>
      <c r="O503" s="41"/>
      <c r="P503" s="41"/>
      <c r="Q503" s="50"/>
      <c r="R503" s="50"/>
      <c r="S503" s="50"/>
      <c r="T503" s="50"/>
      <c r="U503" s="50"/>
      <c r="V503" s="41"/>
      <c r="W503" s="41"/>
      <c r="X503" s="50"/>
      <c r="Y503" s="50"/>
      <c r="Z503" s="14"/>
    </row>
    <row r="504" spans="1:26" ht="25.05" customHeight="1" x14ac:dyDescent="0.3">
      <c r="A504" s="74" t="s">
        <v>365</v>
      </c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22"/>
      <c r="M504" s="24" t="s">
        <v>342</v>
      </c>
      <c r="N504" s="24"/>
      <c r="O504" s="24"/>
      <c r="P504" s="24"/>
      <c r="Q504" s="22"/>
      <c r="R504" s="25" t="s">
        <v>343</v>
      </c>
      <c r="S504" s="22"/>
      <c r="T504" s="25" t="s">
        <v>344</v>
      </c>
      <c r="U504" s="22"/>
      <c r="V504" s="24" t="s">
        <v>345</v>
      </c>
      <c r="W504" s="24"/>
      <c r="X504" s="22"/>
      <c r="Y504" s="52" t="s">
        <v>346</v>
      </c>
      <c r="Z504" s="22"/>
    </row>
    <row r="505" spans="1:26" ht="16.05" customHeight="1" x14ac:dyDescent="0.3">
      <c r="A505" s="11" t="s">
        <v>597</v>
      </c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4"/>
      <c r="M505" s="48">
        <v>0</v>
      </c>
      <c r="N505" s="48"/>
      <c r="O505" s="48"/>
      <c r="P505" s="48"/>
      <c r="Q505" s="14"/>
      <c r="R505" s="46">
        <v>2972.52</v>
      </c>
      <c r="S505" s="14"/>
      <c r="T505" s="46">
        <v>-2972.52</v>
      </c>
      <c r="U505" s="14"/>
      <c r="V505" s="48">
        <v>0</v>
      </c>
      <c r="W505" s="48"/>
      <c r="X505" s="14"/>
      <c r="Y505" s="14"/>
      <c r="Z505" s="14"/>
    </row>
    <row r="506" spans="1:26" ht="18" customHeight="1" x14ac:dyDescent="0.3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22"/>
      <c r="M506" s="29">
        <v>0</v>
      </c>
      <c r="N506" s="29"/>
      <c r="O506" s="29"/>
      <c r="P506" s="29"/>
      <c r="Q506" s="22"/>
      <c r="R506" s="39">
        <v>2972.52</v>
      </c>
      <c r="S506" s="22"/>
      <c r="T506" s="39">
        <v>-2972.52</v>
      </c>
      <c r="U506" s="22"/>
      <c r="V506" s="29">
        <v>0</v>
      </c>
      <c r="W506" s="29"/>
      <c r="X506" s="22"/>
      <c r="Y506" s="22"/>
      <c r="Z506" s="22"/>
    </row>
    <row r="507" spans="1:26" ht="11.25" customHeight="1" x14ac:dyDescent="0.3">
      <c r="A507" s="40" t="s">
        <v>598</v>
      </c>
      <c r="B507" s="40"/>
      <c r="C507" s="40"/>
      <c r="D507" s="40"/>
      <c r="E507" s="40"/>
      <c r="F507" s="40"/>
      <c r="G507" s="40"/>
      <c r="H507" s="40"/>
      <c r="I507" s="40"/>
      <c r="J507" s="40"/>
      <c r="K507" s="40"/>
      <c r="L507" s="50"/>
      <c r="M507" s="41"/>
      <c r="N507" s="41"/>
      <c r="O507" s="41"/>
      <c r="P507" s="41"/>
      <c r="Q507" s="50"/>
      <c r="R507" s="50"/>
      <c r="S507" s="50"/>
      <c r="T507" s="50"/>
      <c r="U507" s="50"/>
      <c r="V507" s="41"/>
      <c r="W507" s="41"/>
      <c r="X507" s="50"/>
      <c r="Y507" s="50"/>
      <c r="Z507" s="14"/>
    </row>
    <row r="508" spans="1:26" ht="25.95" customHeight="1" x14ac:dyDescent="0.3">
      <c r="A508" s="74" t="s">
        <v>365</v>
      </c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22"/>
      <c r="M508" s="24" t="s">
        <v>342</v>
      </c>
      <c r="N508" s="24"/>
      <c r="O508" s="24"/>
      <c r="P508" s="24"/>
      <c r="Q508" s="22"/>
      <c r="R508" s="25" t="s">
        <v>343</v>
      </c>
      <c r="S508" s="22"/>
      <c r="T508" s="25" t="s">
        <v>344</v>
      </c>
      <c r="U508" s="22"/>
      <c r="V508" s="24" t="s">
        <v>345</v>
      </c>
      <c r="W508" s="24"/>
      <c r="X508" s="22"/>
      <c r="Y508" s="52" t="s">
        <v>346</v>
      </c>
      <c r="Z508" s="22"/>
    </row>
    <row r="509" spans="1:26" ht="16.05" customHeight="1" x14ac:dyDescent="0.3">
      <c r="A509" s="11" t="s">
        <v>599</v>
      </c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4"/>
      <c r="M509" s="76">
        <v>4931.51</v>
      </c>
      <c r="N509" s="76"/>
      <c r="O509" s="76"/>
      <c r="P509" s="76"/>
      <c r="Q509" s="14"/>
      <c r="R509" s="46">
        <v>4931.51</v>
      </c>
      <c r="S509" s="14"/>
      <c r="T509" s="47">
        <v>0</v>
      </c>
      <c r="U509" s="14"/>
      <c r="V509" s="48">
        <v>0</v>
      </c>
      <c r="W509" s="48"/>
      <c r="X509" s="14"/>
      <c r="Y509" s="14"/>
      <c r="Z509" s="14"/>
    </row>
    <row r="510" spans="1:26" ht="18" customHeight="1" x14ac:dyDescent="0.3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22"/>
      <c r="M510" s="77">
        <v>4931.51</v>
      </c>
      <c r="N510" s="77"/>
      <c r="O510" s="77"/>
      <c r="P510" s="77"/>
      <c r="Q510" s="22"/>
      <c r="R510" s="39">
        <v>4931.51</v>
      </c>
      <c r="S510" s="22"/>
      <c r="T510" s="30">
        <v>0</v>
      </c>
      <c r="U510" s="22"/>
      <c r="V510" s="29">
        <v>0</v>
      </c>
      <c r="W510" s="29"/>
      <c r="X510" s="22"/>
      <c r="Y510" s="22"/>
      <c r="Z510" s="22"/>
    </row>
    <row r="511" spans="1:26" ht="11.25" customHeight="1" x14ac:dyDescent="0.3">
      <c r="A511" s="40" t="s">
        <v>600</v>
      </c>
      <c r="B511" s="40"/>
      <c r="C511" s="40"/>
      <c r="D511" s="40"/>
      <c r="E511" s="40"/>
      <c r="F511" s="40"/>
      <c r="G511" s="40"/>
      <c r="H511" s="40"/>
      <c r="I511" s="40"/>
      <c r="J511" s="40"/>
      <c r="K511" s="40"/>
      <c r="L511" s="50"/>
      <c r="M511" s="41"/>
      <c r="N511" s="41"/>
      <c r="O511" s="41"/>
      <c r="P511" s="41"/>
      <c r="Q511" s="50"/>
      <c r="R511" s="50"/>
      <c r="S511" s="50"/>
      <c r="T511" s="50"/>
      <c r="U511" s="50"/>
      <c r="V511" s="41"/>
      <c r="W511" s="41"/>
      <c r="X511" s="50"/>
      <c r="Y511" s="50"/>
      <c r="Z511" s="14"/>
    </row>
    <row r="512" spans="1:26" ht="25.05" customHeight="1" x14ac:dyDescent="0.3">
      <c r="A512" s="74" t="s">
        <v>365</v>
      </c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22"/>
      <c r="M512" s="24" t="s">
        <v>342</v>
      </c>
      <c r="N512" s="24"/>
      <c r="O512" s="24"/>
      <c r="P512" s="24"/>
      <c r="Q512" s="22"/>
      <c r="R512" s="25" t="s">
        <v>343</v>
      </c>
      <c r="S512" s="22"/>
      <c r="T512" s="25" t="s">
        <v>344</v>
      </c>
      <c r="U512" s="22"/>
      <c r="V512" s="24" t="s">
        <v>345</v>
      </c>
      <c r="W512" s="24"/>
      <c r="X512" s="22"/>
      <c r="Y512" s="52" t="s">
        <v>346</v>
      </c>
      <c r="Z512" s="22"/>
    </row>
    <row r="513" spans="1:26" ht="16.05" customHeight="1" x14ac:dyDescent="0.3">
      <c r="A513" s="11" t="s">
        <v>601</v>
      </c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4"/>
      <c r="M513" s="48">
        <v>0</v>
      </c>
      <c r="N513" s="48"/>
      <c r="O513" s="48"/>
      <c r="P513" s="48"/>
      <c r="Q513" s="14"/>
      <c r="R513" s="46">
        <v>4947.72</v>
      </c>
      <c r="S513" s="14"/>
      <c r="T513" s="46">
        <v>-4947.72</v>
      </c>
      <c r="U513" s="14"/>
      <c r="V513" s="48">
        <v>0</v>
      </c>
      <c r="W513" s="48"/>
      <c r="X513" s="14"/>
      <c r="Y513" s="14"/>
      <c r="Z513" s="14"/>
    </row>
    <row r="514" spans="1:26" ht="18" customHeight="1" x14ac:dyDescent="0.3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22"/>
      <c r="M514" s="29">
        <v>0</v>
      </c>
      <c r="N514" s="29"/>
      <c r="O514" s="29"/>
      <c r="P514" s="29"/>
      <c r="Q514" s="22"/>
      <c r="R514" s="39">
        <v>4947.72</v>
      </c>
      <c r="S514" s="22"/>
      <c r="T514" s="39">
        <v>-4947.72</v>
      </c>
      <c r="U514" s="22"/>
      <c r="V514" s="29">
        <v>0</v>
      </c>
      <c r="W514" s="29"/>
      <c r="X514" s="22"/>
      <c r="Y514" s="22"/>
      <c r="Z514" s="22"/>
    </row>
    <row r="515" spans="1:26" ht="11.25" customHeight="1" x14ac:dyDescent="0.3">
      <c r="A515" s="40" t="s">
        <v>602</v>
      </c>
      <c r="B515" s="40"/>
      <c r="C515" s="40"/>
      <c r="D515" s="40"/>
      <c r="E515" s="40"/>
      <c r="F515" s="40"/>
      <c r="G515" s="40"/>
      <c r="H515" s="40"/>
      <c r="I515" s="40"/>
      <c r="J515" s="40"/>
      <c r="K515" s="40"/>
      <c r="L515" s="50"/>
      <c r="M515" s="41"/>
      <c r="N515" s="41"/>
      <c r="O515" s="41"/>
      <c r="P515" s="41"/>
      <c r="Q515" s="50"/>
      <c r="R515" s="50"/>
      <c r="S515" s="50"/>
      <c r="T515" s="50"/>
      <c r="U515" s="50"/>
      <c r="V515" s="41"/>
      <c r="W515" s="41"/>
      <c r="X515" s="50"/>
      <c r="Y515" s="50"/>
      <c r="Z515" s="14"/>
    </row>
    <row r="516" spans="1:26" ht="25.95" customHeight="1" x14ac:dyDescent="0.3">
      <c r="A516" s="74" t="s">
        <v>365</v>
      </c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22"/>
      <c r="M516" s="24" t="s">
        <v>342</v>
      </c>
      <c r="N516" s="24"/>
      <c r="O516" s="24"/>
      <c r="P516" s="24"/>
      <c r="Q516" s="22"/>
      <c r="R516" s="25" t="s">
        <v>343</v>
      </c>
      <c r="S516" s="22"/>
      <c r="T516" s="25" t="s">
        <v>344</v>
      </c>
      <c r="U516" s="22"/>
      <c r="V516" s="24" t="s">
        <v>345</v>
      </c>
      <c r="W516" s="24"/>
      <c r="X516" s="22"/>
      <c r="Y516" s="52" t="s">
        <v>346</v>
      </c>
      <c r="Z516" s="22"/>
    </row>
    <row r="517" spans="1:26" ht="16.05" customHeight="1" x14ac:dyDescent="0.3">
      <c r="A517" s="11" t="s">
        <v>603</v>
      </c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4"/>
      <c r="M517" s="76">
        <v>2465.75</v>
      </c>
      <c r="N517" s="76"/>
      <c r="O517" s="76"/>
      <c r="P517" s="76"/>
      <c r="Q517" s="14"/>
      <c r="R517" s="46">
        <v>2465.75</v>
      </c>
      <c r="S517" s="14"/>
      <c r="T517" s="47">
        <v>0</v>
      </c>
      <c r="U517" s="14"/>
      <c r="V517" s="48">
        <v>0</v>
      </c>
      <c r="W517" s="48"/>
      <c r="X517" s="14"/>
      <c r="Y517" s="14"/>
      <c r="Z517" s="14"/>
    </row>
    <row r="518" spans="1:26" ht="18" customHeight="1" x14ac:dyDescent="0.3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22"/>
      <c r="M518" s="77">
        <v>2465.75</v>
      </c>
      <c r="N518" s="77"/>
      <c r="O518" s="77"/>
      <c r="P518" s="77"/>
      <c r="Q518" s="22"/>
      <c r="R518" s="39">
        <v>2465.75</v>
      </c>
      <c r="S518" s="22"/>
      <c r="T518" s="30">
        <v>0</v>
      </c>
      <c r="U518" s="22"/>
      <c r="V518" s="29">
        <v>0</v>
      </c>
      <c r="W518" s="29"/>
      <c r="X518" s="22"/>
      <c r="Y518" s="22"/>
      <c r="Z518" s="22"/>
    </row>
    <row r="519" spans="1:26" ht="11.25" customHeight="1" x14ac:dyDescent="0.3">
      <c r="A519" s="40" t="s">
        <v>604</v>
      </c>
      <c r="B519" s="40"/>
      <c r="C519" s="40"/>
      <c r="D519" s="40"/>
      <c r="E519" s="40"/>
      <c r="F519" s="40"/>
      <c r="G519" s="40"/>
      <c r="H519" s="40"/>
      <c r="I519" s="40"/>
      <c r="J519" s="40"/>
      <c r="K519" s="40"/>
      <c r="L519" s="50"/>
      <c r="M519" s="41"/>
      <c r="N519" s="41"/>
      <c r="O519" s="41"/>
      <c r="P519" s="41"/>
      <c r="Q519" s="50"/>
      <c r="R519" s="50"/>
      <c r="S519" s="50"/>
      <c r="T519" s="50"/>
      <c r="U519" s="50"/>
      <c r="V519" s="41"/>
      <c r="W519" s="41"/>
      <c r="X519" s="50"/>
      <c r="Y519" s="50"/>
      <c r="Z519" s="14"/>
    </row>
    <row r="520" spans="1:26" ht="25.05" customHeight="1" x14ac:dyDescent="0.3">
      <c r="A520" s="74" t="s">
        <v>365</v>
      </c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22"/>
      <c r="M520" s="24" t="s">
        <v>342</v>
      </c>
      <c r="N520" s="24"/>
      <c r="O520" s="24"/>
      <c r="P520" s="24"/>
      <c r="Q520" s="22"/>
      <c r="R520" s="25" t="s">
        <v>343</v>
      </c>
      <c r="S520" s="22"/>
      <c r="T520" s="25" t="s">
        <v>344</v>
      </c>
      <c r="U520" s="22"/>
      <c r="V520" s="24" t="s">
        <v>345</v>
      </c>
      <c r="W520" s="24"/>
      <c r="X520" s="22"/>
      <c r="Y520" s="52" t="s">
        <v>346</v>
      </c>
      <c r="Z520" s="22"/>
    </row>
    <row r="521" spans="1:26" ht="16.05" customHeight="1" x14ac:dyDescent="0.3">
      <c r="A521" s="11" t="s">
        <v>605</v>
      </c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4"/>
      <c r="M521" s="76">
        <v>2136.9899999999998</v>
      </c>
      <c r="N521" s="76"/>
      <c r="O521" s="76"/>
      <c r="P521" s="76"/>
      <c r="Q521" s="14"/>
      <c r="R521" s="46">
        <v>2136.9899999999998</v>
      </c>
      <c r="S521" s="14"/>
      <c r="T521" s="47">
        <v>0</v>
      </c>
      <c r="U521" s="14"/>
      <c r="V521" s="48">
        <v>0</v>
      </c>
      <c r="W521" s="48"/>
      <c r="X521" s="14"/>
      <c r="Y521" s="14"/>
      <c r="Z521" s="14"/>
    </row>
    <row r="522" spans="1:26" ht="18" customHeight="1" x14ac:dyDescent="0.3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22"/>
      <c r="M522" s="77">
        <v>2136.9899999999998</v>
      </c>
      <c r="N522" s="77"/>
      <c r="O522" s="77"/>
      <c r="P522" s="77"/>
      <c r="Q522" s="22"/>
      <c r="R522" s="39">
        <v>2136.9899999999998</v>
      </c>
      <c r="S522" s="22"/>
      <c r="T522" s="30">
        <v>0</v>
      </c>
      <c r="U522" s="22"/>
      <c r="V522" s="29">
        <v>0</v>
      </c>
      <c r="W522" s="29"/>
      <c r="X522" s="22"/>
      <c r="Y522" s="22"/>
      <c r="Z522" s="22"/>
    </row>
    <row r="523" spans="1:26" ht="11.25" customHeight="1" x14ac:dyDescent="0.3">
      <c r="A523" s="58">
        <v>1158</v>
      </c>
      <c r="B523" s="58"/>
      <c r="C523" s="68" t="s">
        <v>606</v>
      </c>
      <c r="D523" s="68"/>
      <c r="E523" s="68"/>
      <c r="F523" s="68"/>
      <c r="G523" s="68"/>
      <c r="H523" s="68"/>
      <c r="I523" s="68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14"/>
    </row>
    <row r="524" spans="1:26" ht="25.95" customHeight="1" x14ac:dyDescent="0.3">
      <c r="A524" s="38"/>
      <c r="B524" s="38"/>
      <c r="C524" s="69" t="s">
        <v>340</v>
      </c>
      <c r="D524" s="69"/>
      <c r="E524" s="69"/>
      <c r="F524" s="69"/>
      <c r="G524" s="69"/>
      <c r="H524" s="69"/>
      <c r="I524" s="69"/>
      <c r="J524" s="42" t="s">
        <v>341</v>
      </c>
      <c r="K524" s="42"/>
      <c r="L524" s="43" t="s">
        <v>342</v>
      </c>
      <c r="M524" s="43"/>
      <c r="N524" s="43"/>
      <c r="O524" s="43"/>
      <c r="P524" s="43"/>
      <c r="Q524" s="43" t="s">
        <v>343</v>
      </c>
      <c r="R524" s="43"/>
      <c r="S524" s="10" t="s">
        <v>344</v>
      </c>
      <c r="T524" s="10"/>
      <c r="U524" s="43" t="s">
        <v>345</v>
      </c>
      <c r="V524" s="43"/>
      <c r="W524" s="43"/>
      <c r="X524" s="44" t="s">
        <v>346</v>
      </c>
      <c r="Y524" s="44"/>
      <c r="Z524" s="22"/>
    </row>
    <row r="525" spans="1:26" ht="16.05" customHeight="1" x14ac:dyDescent="0.3">
      <c r="A525" s="11" t="s">
        <v>607</v>
      </c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4"/>
      <c r="M525" s="76">
        <v>2082.19</v>
      </c>
      <c r="N525" s="76"/>
      <c r="O525" s="76"/>
      <c r="P525" s="76"/>
      <c r="Q525" s="14"/>
      <c r="R525" s="46">
        <v>2082.19</v>
      </c>
      <c r="S525" s="14"/>
      <c r="T525" s="47">
        <v>0</v>
      </c>
      <c r="U525" s="14"/>
      <c r="V525" s="48">
        <v>0</v>
      </c>
      <c r="W525" s="48"/>
      <c r="X525" s="14"/>
      <c r="Y525" s="14"/>
      <c r="Z525" s="14"/>
    </row>
    <row r="526" spans="1:26" ht="18" customHeight="1" x14ac:dyDescent="0.3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22"/>
      <c r="M526" s="77">
        <v>2082.19</v>
      </c>
      <c r="N526" s="77"/>
      <c r="O526" s="77"/>
      <c r="P526" s="77"/>
      <c r="Q526" s="22"/>
      <c r="R526" s="39">
        <v>2082.19</v>
      </c>
      <c r="S526" s="22"/>
      <c r="T526" s="30">
        <v>0</v>
      </c>
      <c r="U526" s="22"/>
      <c r="V526" s="29">
        <v>0</v>
      </c>
      <c r="W526" s="29"/>
      <c r="X526" s="22"/>
      <c r="Y526" s="22"/>
      <c r="Z526" s="22"/>
    </row>
    <row r="527" spans="1:26" ht="11.25" customHeight="1" x14ac:dyDescent="0.3">
      <c r="A527" s="40" t="s">
        <v>608</v>
      </c>
      <c r="B527" s="40"/>
      <c r="C527" s="40"/>
      <c r="D527" s="40"/>
      <c r="E527" s="40"/>
      <c r="F527" s="40"/>
      <c r="G527" s="40"/>
      <c r="H527" s="40"/>
      <c r="I527" s="40"/>
      <c r="J527" s="40"/>
      <c r="K527" s="40"/>
      <c r="L527" s="50"/>
      <c r="M527" s="41"/>
      <c r="N527" s="41"/>
      <c r="O527" s="41"/>
      <c r="P527" s="41"/>
      <c r="Q527" s="50"/>
      <c r="R527" s="50"/>
      <c r="S527" s="50"/>
      <c r="T527" s="50"/>
      <c r="U527" s="50"/>
      <c r="V527" s="41"/>
      <c r="W527" s="41"/>
      <c r="X527" s="50"/>
      <c r="Y527" s="50"/>
      <c r="Z527" s="14"/>
    </row>
    <row r="528" spans="1:26" ht="25.05" customHeight="1" x14ac:dyDescent="0.3">
      <c r="A528" s="74" t="s">
        <v>365</v>
      </c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22"/>
      <c r="M528" s="24" t="s">
        <v>342</v>
      </c>
      <c r="N528" s="24"/>
      <c r="O528" s="24"/>
      <c r="P528" s="24"/>
      <c r="Q528" s="22"/>
      <c r="R528" s="25" t="s">
        <v>343</v>
      </c>
      <c r="S528" s="22"/>
      <c r="T528" s="25" t="s">
        <v>344</v>
      </c>
      <c r="U528" s="22"/>
      <c r="V528" s="24" t="s">
        <v>345</v>
      </c>
      <c r="W528" s="24"/>
      <c r="X528" s="22"/>
      <c r="Y528" s="52" t="s">
        <v>346</v>
      </c>
      <c r="Z528" s="22"/>
    </row>
    <row r="529" spans="1:26" ht="16.05" customHeight="1" x14ac:dyDescent="0.3">
      <c r="A529" s="11" t="s">
        <v>609</v>
      </c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4"/>
      <c r="M529" s="76">
        <v>9205.48</v>
      </c>
      <c r="N529" s="76"/>
      <c r="O529" s="76"/>
      <c r="P529" s="76"/>
      <c r="Q529" s="14"/>
      <c r="R529" s="46">
        <v>9205.48</v>
      </c>
      <c r="S529" s="14"/>
      <c r="T529" s="47">
        <v>0</v>
      </c>
      <c r="U529" s="14"/>
      <c r="V529" s="48">
        <v>0</v>
      </c>
      <c r="W529" s="48"/>
      <c r="X529" s="14"/>
      <c r="Y529" s="14"/>
      <c r="Z529" s="14"/>
    </row>
    <row r="530" spans="1:26" ht="22.05" customHeight="1" x14ac:dyDescent="0.3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22"/>
      <c r="M530" s="76">
        <v>9205.48</v>
      </c>
      <c r="N530" s="76"/>
      <c r="O530" s="76"/>
      <c r="P530" s="76"/>
      <c r="Q530" s="22"/>
      <c r="R530" s="46">
        <v>9205.48</v>
      </c>
      <c r="S530" s="22"/>
      <c r="T530" s="47">
        <v>0</v>
      </c>
      <c r="U530" s="22"/>
      <c r="V530" s="48">
        <v>0</v>
      </c>
      <c r="W530" s="48"/>
      <c r="X530" s="22"/>
      <c r="Y530" s="22"/>
      <c r="Z530" s="22"/>
    </row>
    <row r="531" spans="1:26" ht="11.7" customHeight="1" x14ac:dyDescent="0.3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4"/>
      <c r="M531" s="77">
        <v>479426.7</v>
      </c>
      <c r="N531" s="77"/>
      <c r="O531" s="77"/>
      <c r="P531" s="77"/>
      <c r="Q531" s="14"/>
      <c r="R531" s="46">
        <v>558660.78</v>
      </c>
      <c r="S531" s="14"/>
      <c r="T531" s="46">
        <v>-79234.080000000002</v>
      </c>
      <c r="U531" s="14"/>
      <c r="V531" s="48">
        <v>0</v>
      </c>
      <c r="W531" s="48"/>
      <c r="X531" s="14"/>
      <c r="Y531" s="14"/>
      <c r="Z531" s="14"/>
    </row>
  </sheetData>
  <mergeCells count="1912">
    <mergeCell ref="A531:K531"/>
    <mergeCell ref="M531:P531"/>
    <mergeCell ref="V531:W531"/>
    <mergeCell ref="A529:K529"/>
    <mergeCell ref="M529:P529"/>
    <mergeCell ref="V529:W529"/>
    <mergeCell ref="A530:K530"/>
    <mergeCell ref="M530:P530"/>
    <mergeCell ref="V530:W530"/>
    <mergeCell ref="A527:K527"/>
    <mergeCell ref="M527:P527"/>
    <mergeCell ref="V527:W527"/>
    <mergeCell ref="A528:K528"/>
    <mergeCell ref="M528:P528"/>
    <mergeCell ref="V528:W528"/>
    <mergeCell ref="A525:K525"/>
    <mergeCell ref="M525:P525"/>
    <mergeCell ref="V525:W525"/>
    <mergeCell ref="A526:K526"/>
    <mergeCell ref="M526:P526"/>
    <mergeCell ref="V526:W526"/>
    <mergeCell ref="U523:W523"/>
    <mergeCell ref="X523:Y523"/>
    <mergeCell ref="A524:B524"/>
    <mergeCell ref="C524:I524"/>
    <mergeCell ref="J524:K524"/>
    <mergeCell ref="L524:P524"/>
    <mergeCell ref="Q524:R524"/>
    <mergeCell ref="S524:T524"/>
    <mergeCell ref="U524:W524"/>
    <mergeCell ref="X524:Y524"/>
    <mergeCell ref="A523:B523"/>
    <mergeCell ref="C523:I523"/>
    <mergeCell ref="J523:K523"/>
    <mergeCell ref="L523:P523"/>
    <mergeCell ref="Q523:R523"/>
    <mergeCell ref="S523:T523"/>
    <mergeCell ref="A521:K521"/>
    <mergeCell ref="M521:P521"/>
    <mergeCell ref="V521:W521"/>
    <mergeCell ref="A522:K522"/>
    <mergeCell ref="M522:P522"/>
    <mergeCell ref="V522:W522"/>
    <mergeCell ref="A519:K519"/>
    <mergeCell ref="M519:P519"/>
    <mergeCell ref="V519:W519"/>
    <mergeCell ref="A520:K520"/>
    <mergeCell ref="M520:P520"/>
    <mergeCell ref="V520:W520"/>
    <mergeCell ref="A517:K517"/>
    <mergeCell ref="M517:P517"/>
    <mergeCell ref="V517:W517"/>
    <mergeCell ref="A518:K518"/>
    <mergeCell ref="M518:P518"/>
    <mergeCell ref="V518:W518"/>
    <mergeCell ref="A515:K515"/>
    <mergeCell ref="M515:P515"/>
    <mergeCell ref="V515:W515"/>
    <mergeCell ref="A516:K516"/>
    <mergeCell ref="M516:P516"/>
    <mergeCell ref="V516:W516"/>
    <mergeCell ref="A513:K513"/>
    <mergeCell ref="M513:P513"/>
    <mergeCell ref="V513:W513"/>
    <mergeCell ref="A514:K514"/>
    <mergeCell ref="M514:P514"/>
    <mergeCell ref="V514:W514"/>
    <mergeCell ref="A511:K511"/>
    <mergeCell ref="M511:P511"/>
    <mergeCell ref="V511:W511"/>
    <mergeCell ref="A512:K512"/>
    <mergeCell ref="M512:P512"/>
    <mergeCell ref="V512:W512"/>
    <mergeCell ref="A509:K509"/>
    <mergeCell ref="M509:P509"/>
    <mergeCell ref="V509:W509"/>
    <mergeCell ref="A510:K510"/>
    <mergeCell ref="M510:P510"/>
    <mergeCell ref="V510:W510"/>
    <mergeCell ref="A507:K507"/>
    <mergeCell ref="M507:P507"/>
    <mergeCell ref="V507:W507"/>
    <mergeCell ref="A508:K508"/>
    <mergeCell ref="M508:P508"/>
    <mergeCell ref="V508:W508"/>
    <mergeCell ref="A505:K505"/>
    <mergeCell ref="M505:P505"/>
    <mergeCell ref="V505:W505"/>
    <mergeCell ref="A506:K506"/>
    <mergeCell ref="M506:P506"/>
    <mergeCell ref="V506:W506"/>
    <mergeCell ref="A503:K503"/>
    <mergeCell ref="M503:P503"/>
    <mergeCell ref="V503:W503"/>
    <mergeCell ref="A504:K504"/>
    <mergeCell ref="M504:P504"/>
    <mergeCell ref="V504:W504"/>
    <mergeCell ref="A501:K501"/>
    <mergeCell ref="M501:P501"/>
    <mergeCell ref="V501:W501"/>
    <mergeCell ref="A502:K502"/>
    <mergeCell ref="M502:P502"/>
    <mergeCell ref="V502:W502"/>
    <mergeCell ref="U499:W499"/>
    <mergeCell ref="X499:Y499"/>
    <mergeCell ref="A500:B500"/>
    <mergeCell ref="C500:I500"/>
    <mergeCell ref="J500:K500"/>
    <mergeCell ref="L500:P500"/>
    <mergeCell ref="Q500:R500"/>
    <mergeCell ref="S500:T500"/>
    <mergeCell ref="U500:W500"/>
    <mergeCell ref="X500:Y500"/>
    <mergeCell ref="A499:B499"/>
    <mergeCell ref="C499:I499"/>
    <mergeCell ref="J499:K499"/>
    <mergeCell ref="L499:P499"/>
    <mergeCell ref="Q499:R499"/>
    <mergeCell ref="S499:T499"/>
    <mergeCell ref="A497:G497"/>
    <mergeCell ref="I497:K497"/>
    <mergeCell ref="M497:P497"/>
    <mergeCell ref="V497:W497"/>
    <mergeCell ref="A498:G498"/>
    <mergeCell ref="I498:K498"/>
    <mergeCell ref="M498:P498"/>
    <mergeCell ref="V498:W498"/>
    <mergeCell ref="A494:K494"/>
    <mergeCell ref="M494:P494"/>
    <mergeCell ref="V494:W494"/>
    <mergeCell ref="B495:Y495"/>
    <mergeCell ref="C496:G496"/>
    <mergeCell ref="J496:K496"/>
    <mergeCell ref="M496:P496"/>
    <mergeCell ref="V496:W496"/>
    <mergeCell ref="A492:K492"/>
    <mergeCell ref="M492:P492"/>
    <mergeCell ref="V492:W492"/>
    <mergeCell ref="A493:K493"/>
    <mergeCell ref="M493:P493"/>
    <mergeCell ref="V493:W493"/>
    <mergeCell ref="A490:K490"/>
    <mergeCell ref="M490:P490"/>
    <mergeCell ref="V490:W490"/>
    <mergeCell ref="A491:K491"/>
    <mergeCell ref="M491:P491"/>
    <mergeCell ref="V491:W491"/>
    <mergeCell ref="A488:K488"/>
    <mergeCell ref="M488:P488"/>
    <mergeCell ref="V488:W488"/>
    <mergeCell ref="A489:K489"/>
    <mergeCell ref="M489:P489"/>
    <mergeCell ref="V489:W489"/>
    <mergeCell ref="X486:Y486"/>
    <mergeCell ref="A487:B487"/>
    <mergeCell ref="C487:J487"/>
    <mergeCell ref="L487:P487"/>
    <mergeCell ref="Q487:R487"/>
    <mergeCell ref="S487:T487"/>
    <mergeCell ref="U487:W487"/>
    <mergeCell ref="X487:Y487"/>
    <mergeCell ref="A485:P485"/>
    <mergeCell ref="V485:W485"/>
    <mergeCell ref="A486:B486"/>
    <mergeCell ref="C486:J486"/>
    <mergeCell ref="L486:P486"/>
    <mergeCell ref="Q486:R486"/>
    <mergeCell ref="S486:T486"/>
    <mergeCell ref="U486:W486"/>
    <mergeCell ref="A482:P482"/>
    <mergeCell ref="V482:W482"/>
    <mergeCell ref="A483:P483"/>
    <mergeCell ref="V483:W483"/>
    <mergeCell ref="A484:P484"/>
    <mergeCell ref="V484:W484"/>
    <mergeCell ref="A479:P479"/>
    <mergeCell ref="V479:W479"/>
    <mergeCell ref="A480:P480"/>
    <mergeCell ref="V480:W480"/>
    <mergeCell ref="A481:P481"/>
    <mergeCell ref="V481:W481"/>
    <mergeCell ref="X477:Y477"/>
    <mergeCell ref="A478:B478"/>
    <mergeCell ref="C478:J478"/>
    <mergeCell ref="L478:P478"/>
    <mergeCell ref="Q478:R478"/>
    <mergeCell ref="S478:T478"/>
    <mergeCell ref="U478:W478"/>
    <mergeCell ref="X478:Y478"/>
    <mergeCell ref="A476:K476"/>
    <mergeCell ref="M476:P476"/>
    <mergeCell ref="V476:W476"/>
    <mergeCell ref="A477:B477"/>
    <mergeCell ref="C477:J477"/>
    <mergeCell ref="L477:P477"/>
    <mergeCell ref="Q477:R477"/>
    <mergeCell ref="S477:T477"/>
    <mergeCell ref="U477:W477"/>
    <mergeCell ref="A474:K474"/>
    <mergeCell ref="M474:P474"/>
    <mergeCell ref="V474:W474"/>
    <mergeCell ref="A475:K475"/>
    <mergeCell ref="M475:P475"/>
    <mergeCell ref="V475:W475"/>
    <mergeCell ref="A472:K472"/>
    <mergeCell ref="M472:P472"/>
    <mergeCell ref="V472:W472"/>
    <mergeCell ref="A473:K473"/>
    <mergeCell ref="M473:P473"/>
    <mergeCell ref="V473:W473"/>
    <mergeCell ref="A470:K470"/>
    <mergeCell ref="M470:P470"/>
    <mergeCell ref="V470:W470"/>
    <mergeCell ref="A471:K471"/>
    <mergeCell ref="M471:P471"/>
    <mergeCell ref="V471:W471"/>
    <mergeCell ref="X468:Y468"/>
    <mergeCell ref="A469:B469"/>
    <mergeCell ref="C469:J469"/>
    <mergeCell ref="L469:P469"/>
    <mergeCell ref="Q469:R469"/>
    <mergeCell ref="S469:T469"/>
    <mergeCell ref="U469:W469"/>
    <mergeCell ref="X469:Y469"/>
    <mergeCell ref="A468:B468"/>
    <mergeCell ref="C468:J468"/>
    <mergeCell ref="L468:P468"/>
    <mergeCell ref="Q468:R468"/>
    <mergeCell ref="S468:T468"/>
    <mergeCell ref="U468:W468"/>
    <mergeCell ref="A466:K466"/>
    <mergeCell ref="M466:P466"/>
    <mergeCell ref="V466:W466"/>
    <mergeCell ref="A467:K467"/>
    <mergeCell ref="M467:P467"/>
    <mergeCell ref="V467:W467"/>
    <mergeCell ref="A464:K464"/>
    <mergeCell ref="M464:P464"/>
    <mergeCell ref="V464:W464"/>
    <mergeCell ref="A465:K465"/>
    <mergeCell ref="M465:P465"/>
    <mergeCell ref="V465:W465"/>
    <mergeCell ref="A462:K462"/>
    <mergeCell ref="M462:P462"/>
    <mergeCell ref="V462:W462"/>
    <mergeCell ref="A463:K463"/>
    <mergeCell ref="M463:P463"/>
    <mergeCell ref="V463:W463"/>
    <mergeCell ref="X460:Y460"/>
    <mergeCell ref="A461:B461"/>
    <mergeCell ref="C461:J461"/>
    <mergeCell ref="L461:P461"/>
    <mergeCell ref="Q461:R461"/>
    <mergeCell ref="S461:T461"/>
    <mergeCell ref="U461:W461"/>
    <mergeCell ref="X461:Y461"/>
    <mergeCell ref="A460:B460"/>
    <mergeCell ref="C460:J460"/>
    <mergeCell ref="L460:P460"/>
    <mergeCell ref="Q460:R460"/>
    <mergeCell ref="S460:T460"/>
    <mergeCell ref="U460:W460"/>
    <mergeCell ref="A458:G458"/>
    <mergeCell ref="I458:K458"/>
    <mergeCell ref="M458:P458"/>
    <mergeCell ref="V458:W458"/>
    <mergeCell ref="A459:G459"/>
    <mergeCell ref="I459:K459"/>
    <mergeCell ref="M459:P459"/>
    <mergeCell ref="V459:W459"/>
    <mergeCell ref="A455:P455"/>
    <mergeCell ref="V455:W455"/>
    <mergeCell ref="B456:Y456"/>
    <mergeCell ref="C457:G457"/>
    <mergeCell ref="I457:J457"/>
    <mergeCell ref="M457:P457"/>
    <mergeCell ref="V457:W457"/>
    <mergeCell ref="A452:P452"/>
    <mergeCell ref="V452:W452"/>
    <mergeCell ref="A453:P453"/>
    <mergeCell ref="V453:W453"/>
    <mergeCell ref="A454:P454"/>
    <mergeCell ref="V454:W454"/>
    <mergeCell ref="A449:P449"/>
    <mergeCell ref="V449:W449"/>
    <mergeCell ref="A450:P450"/>
    <mergeCell ref="V450:W450"/>
    <mergeCell ref="A451:P451"/>
    <mergeCell ref="V451:W451"/>
    <mergeCell ref="A446:P446"/>
    <mergeCell ref="V446:W446"/>
    <mergeCell ref="A447:P447"/>
    <mergeCell ref="V447:W447"/>
    <mergeCell ref="A448:P448"/>
    <mergeCell ref="V448:W448"/>
    <mergeCell ref="A443:P443"/>
    <mergeCell ref="V443:W443"/>
    <mergeCell ref="A444:P444"/>
    <mergeCell ref="V444:W444"/>
    <mergeCell ref="A445:P445"/>
    <mergeCell ref="V445:W445"/>
    <mergeCell ref="A440:P440"/>
    <mergeCell ref="V440:W440"/>
    <mergeCell ref="A441:P441"/>
    <mergeCell ref="V441:W441"/>
    <mergeCell ref="A442:P442"/>
    <mergeCell ref="V442:W442"/>
    <mergeCell ref="A437:P437"/>
    <mergeCell ref="V437:W437"/>
    <mergeCell ref="A438:P438"/>
    <mergeCell ref="V438:W438"/>
    <mergeCell ref="A439:P439"/>
    <mergeCell ref="V439:W439"/>
    <mergeCell ref="A434:P434"/>
    <mergeCell ref="V434:W434"/>
    <mergeCell ref="A435:P435"/>
    <mergeCell ref="V435:W435"/>
    <mergeCell ref="A436:P436"/>
    <mergeCell ref="V436:W436"/>
    <mergeCell ref="A431:K431"/>
    <mergeCell ref="M431:P431"/>
    <mergeCell ref="V431:W431"/>
    <mergeCell ref="A432:P432"/>
    <mergeCell ref="V432:W432"/>
    <mergeCell ref="A433:P433"/>
    <mergeCell ref="V433:W433"/>
    <mergeCell ref="A429:K429"/>
    <mergeCell ref="M429:P429"/>
    <mergeCell ref="V429:W429"/>
    <mergeCell ref="A430:K430"/>
    <mergeCell ref="M430:P430"/>
    <mergeCell ref="V430:W430"/>
    <mergeCell ref="A427:K427"/>
    <mergeCell ref="M427:P427"/>
    <mergeCell ref="V427:W427"/>
    <mergeCell ref="A428:K428"/>
    <mergeCell ref="M428:P428"/>
    <mergeCell ref="V428:W428"/>
    <mergeCell ref="A425:K425"/>
    <mergeCell ref="M425:P425"/>
    <mergeCell ref="V425:W425"/>
    <mergeCell ref="A426:K426"/>
    <mergeCell ref="M426:P426"/>
    <mergeCell ref="V426:W426"/>
    <mergeCell ref="A423:K423"/>
    <mergeCell ref="M423:P423"/>
    <mergeCell ref="V423:W423"/>
    <mergeCell ref="A424:K424"/>
    <mergeCell ref="M424:P424"/>
    <mergeCell ref="V424:W424"/>
    <mergeCell ref="A421:K421"/>
    <mergeCell ref="M421:P421"/>
    <mergeCell ref="V421:W421"/>
    <mergeCell ref="A422:K422"/>
    <mergeCell ref="M422:P422"/>
    <mergeCell ref="V422:W422"/>
    <mergeCell ref="B418:E418"/>
    <mergeCell ref="F418:K418"/>
    <mergeCell ref="N418:P418"/>
    <mergeCell ref="V418:W418"/>
    <mergeCell ref="B419:Z419"/>
    <mergeCell ref="B420:E420"/>
    <mergeCell ref="F420:K420"/>
    <mergeCell ref="N420:P420"/>
    <mergeCell ref="V420:W420"/>
    <mergeCell ref="X416:Y416"/>
    <mergeCell ref="A417:E417"/>
    <mergeCell ref="F417:M417"/>
    <mergeCell ref="N417:Q417"/>
    <mergeCell ref="R417:S417"/>
    <mergeCell ref="T417:U417"/>
    <mergeCell ref="V417:W417"/>
    <mergeCell ref="X417:Y417"/>
    <mergeCell ref="A416:E416"/>
    <mergeCell ref="F416:M416"/>
    <mergeCell ref="N416:Q416"/>
    <mergeCell ref="R416:S416"/>
    <mergeCell ref="T416:U416"/>
    <mergeCell ref="V416:W416"/>
    <mergeCell ref="A413:G413"/>
    <mergeCell ref="I413:K413"/>
    <mergeCell ref="M413:P413"/>
    <mergeCell ref="V413:W413"/>
    <mergeCell ref="B414:Z414"/>
    <mergeCell ref="B415:E415"/>
    <mergeCell ref="F415:K415"/>
    <mergeCell ref="N415:P415"/>
    <mergeCell ref="V415:W415"/>
    <mergeCell ref="A411:G411"/>
    <mergeCell ref="I411:K411"/>
    <mergeCell ref="M411:P411"/>
    <mergeCell ref="V411:W411"/>
    <mergeCell ref="A412:G412"/>
    <mergeCell ref="I412:K412"/>
    <mergeCell ref="M412:P412"/>
    <mergeCell ref="V412:W412"/>
    <mergeCell ref="A409:G409"/>
    <mergeCell ref="I409:K409"/>
    <mergeCell ref="M409:P409"/>
    <mergeCell ref="V409:W409"/>
    <mergeCell ref="A410:G410"/>
    <mergeCell ref="I410:K410"/>
    <mergeCell ref="M410:P410"/>
    <mergeCell ref="V410:W410"/>
    <mergeCell ref="A407:K407"/>
    <mergeCell ref="M407:P407"/>
    <mergeCell ref="V407:W407"/>
    <mergeCell ref="A408:G408"/>
    <mergeCell ref="H408:K408"/>
    <mergeCell ref="M408:P408"/>
    <mergeCell ref="V408:W408"/>
    <mergeCell ref="A405:K405"/>
    <mergeCell ref="M405:P405"/>
    <mergeCell ref="V405:W405"/>
    <mergeCell ref="A406:K406"/>
    <mergeCell ref="M406:P406"/>
    <mergeCell ref="V406:W406"/>
    <mergeCell ref="A403:K403"/>
    <mergeCell ref="M403:P403"/>
    <mergeCell ref="V403:W403"/>
    <mergeCell ref="A404:K404"/>
    <mergeCell ref="M404:P404"/>
    <mergeCell ref="V404:W404"/>
    <mergeCell ref="A401:K401"/>
    <mergeCell ref="M401:P401"/>
    <mergeCell ref="V401:W401"/>
    <mergeCell ref="A402:K402"/>
    <mergeCell ref="M402:P402"/>
    <mergeCell ref="V402:W402"/>
    <mergeCell ref="X399:Y399"/>
    <mergeCell ref="A400:B400"/>
    <mergeCell ref="C400:I400"/>
    <mergeCell ref="J400:K400"/>
    <mergeCell ref="L400:P400"/>
    <mergeCell ref="Q400:R400"/>
    <mergeCell ref="S400:T400"/>
    <mergeCell ref="U400:W400"/>
    <mergeCell ref="X400:Y400"/>
    <mergeCell ref="A398:K398"/>
    <mergeCell ref="M398:P398"/>
    <mergeCell ref="V398:W398"/>
    <mergeCell ref="A399:B399"/>
    <mergeCell ref="C399:I399"/>
    <mergeCell ref="J399:K399"/>
    <mergeCell ref="L399:P399"/>
    <mergeCell ref="Q399:R399"/>
    <mergeCell ref="S399:T399"/>
    <mergeCell ref="U399:W399"/>
    <mergeCell ref="A396:K396"/>
    <mergeCell ref="M396:P396"/>
    <mergeCell ref="V396:W396"/>
    <mergeCell ref="A397:K397"/>
    <mergeCell ref="M397:P397"/>
    <mergeCell ref="V397:W397"/>
    <mergeCell ref="A394:K394"/>
    <mergeCell ref="M394:P394"/>
    <mergeCell ref="V394:W394"/>
    <mergeCell ref="A395:K395"/>
    <mergeCell ref="M395:P395"/>
    <mergeCell ref="V395:W395"/>
    <mergeCell ref="A392:K392"/>
    <mergeCell ref="M392:P392"/>
    <mergeCell ref="V392:W392"/>
    <mergeCell ref="A393:K393"/>
    <mergeCell ref="M393:P393"/>
    <mergeCell ref="V393:W393"/>
    <mergeCell ref="A390:H390"/>
    <mergeCell ref="I390:K390"/>
    <mergeCell ref="M390:P390"/>
    <mergeCell ref="V390:W390"/>
    <mergeCell ref="A391:K391"/>
    <mergeCell ref="M391:P391"/>
    <mergeCell ref="V391:W391"/>
    <mergeCell ref="A388:H388"/>
    <mergeCell ref="I388:K388"/>
    <mergeCell ref="M388:P388"/>
    <mergeCell ref="V388:W388"/>
    <mergeCell ref="A389:H389"/>
    <mergeCell ref="I389:K389"/>
    <mergeCell ref="M389:P389"/>
    <mergeCell ref="V389:W389"/>
    <mergeCell ref="A386:H386"/>
    <mergeCell ref="I386:K386"/>
    <mergeCell ref="M386:P386"/>
    <mergeCell ref="V386:W386"/>
    <mergeCell ref="A387:H387"/>
    <mergeCell ref="I387:K387"/>
    <mergeCell ref="M387:P387"/>
    <mergeCell ref="V387:W387"/>
    <mergeCell ref="A384:H384"/>
    <mergeCell ref="I384:K384"/>
    <mergeCell ref="M384:P384"/>
    <mergeCell ref="V384:W384"/>
    <mergeCell ref="A385:H385"/>
    <mergeCell ref="I385:K385"/>
    <mergeCell ref="M385:P385"/>
    <mergeCell ref="V385:W385"/>
    <mergeCell ref="X382:Y382"/>
    <mergeCell ref="A383:B383"/>
    <mergeCell ref="C383:I383"/>
    <mergeCell ref="J383:K383"/>
    <mergeCell ref="L383:P383"/>
    <mergeCell ref="Q383:R383"/>
    <mergeCell ref="S383:T383"/>
    <mergeCell ref="U383:W383"/>
    <mergeCell ref="X383:Y383"/>
    <mergeCell ref="A381:N381"/>
    <mergeCell ref="O381:P381"/>
    <mergeCell ref="V381:W381"/>
    <mergeCell ref="A382:B382"/>
    <mergeCell ref="C382:I382"/>
    <mergeCell ref="J382:K382"/>
    <mergeCell ref="L382:P382"/>
    <mergeCell ref="Q382:R382"/>
    <mergeCell ref="S382:T382"/>
    <mergeCell ref="U382:W382"/>
    <mergeCell ref="A379:N379"/>
    <mergeCell ref="O379:P379"/>
    <mergeCell ref="V379:W379"/>
    <mergeCell ref="A380:N380"/>
    <mergeCell ref="O380:P380"/>
    <mergeCell ref="V380:W380"/>
    <mergeCell ref="A377:N377"/>
    <mergeCell ref="O377:P377"/>
    <mergeCell ref="V377:W377"/>
    <mergeCell ref="A378:N378"/>
    <mergeCell ref="O378:P378"/>
    <mergeCell ref="V378:W378"/>
    <mergeCell ref="A375:G375"/>
    <mergeCell ref="I375:K375"/>
    <mergeCell ref="M375:P375"/>
    <mergeCell ref="V375:W375"/>
    <mergeCell ref="A376:G376"/>
    <mergeCell ref="I376:K376"/>
    <mergeCell ref="M376:P376"/>
    <mergeCell ref="V376:W376"/>
    <mergeCell ref="B373:Y373"/>
    <mergeCell ref="C374:G374"/>
    <mergeCell ref="J374:K374"/>
    <mergeCell ref="M374:N374"/>
    <mergeCell ref="O374:P374"/>
    <mergeCell ref="V374:W374"/>
    <mergeCell ref="A371:G371"/>
    <mergeCell ref="I371:K371"/>
    <mergeCell ref="M371:P371"/>
    <mergeCell ref="V371:W371"/>
    <mergeCell ref="A372:G372"/>
    <mergeCell ref="I372:K372"/>
    <mergeCell ref="M372:P372"/>
    <mergeCell ref="V372:W372"/>
    <mergeCell ref="U369:W369"/>
    <mergeCell ref="X369:Y369"/>
    <mergeCell ref="A370:B370"/>
    <mergeCell ref="C370:I370"/>
    <mergeCell ref="J370:K370"/>
    <mergeCell ref="L370:P370"/>
    <mergeCell ref="Q370:R370"/>
    <mergeCell ref="S370:T370"/>
    <mergeCell ref="U370:W370"/>
    <mergeCell ref="X370:Y370"/>
    <mergeCell ref="A369:B369"/>
    <mergeCell ref="C369:I369"/>
    <mergeCell ref="J369:K369"/>
    <mergeCell ref="L369:P369"/>
    <mergeCell ref="Q369:R369"/>
    <mergeCell ref="S369:T369"/>
    <mergeCell ref="A366:P366"/>
    <mergeCell ref="V366:W366"/>
    <mergeCell ref="A367:P367"/>
    <mergeCell ref="V367:W367"/>
    <mergeCell ref="A368:P368"/>
    <mergeCell ref="V368:W368"/>
    <mergeCell ref="A363:P363"/>
    <mergeCell ref="V363:W363"/>
    <mergeCell ref="A364:P364"/>
    <mergeCell ref="V364:W364"/>
    <mergeCell ref="A365:P365"/>
    <mergeCell ref="V365:W365"/>
    <mergeCell ref="A360:P360"/>
    <mergeCell ref="V360:W360"/>
    <mergeCell ref="A361:P361"/>
    <mergeCell ref="V361:W361"/>
    <mergeCell ref="A362:P362"/>
    <mergeCell ref="V362:W362"/>
    <mergeCell ref="A357:P357"/>
    <mergeCell ref="V357:W357"/>
    <mergeCell ref="A358:P358"/>
    <mergeCell ref="V358:W358"/>
    <mergeCell ref="A359:P359"/>
    <mergeCell ref="V359:W359"/>
    <mergeCell ref="A354:P354"/>
    <mergeCell ref="V354:W354"/>
    <mergeCell ref="A355:P355"/>
    <mergeCell ref="V355:W355"/>
    <mergeCell ref="A356:P356"/>
    <mergeCell ref="V356:W356"/>
    <mergeCell ref="A351:P351"/>
    <mergeCell ref="V351:W351"/>
    <mergeCell ref="A352:P352"/>
    <mergeCell ref="V352:W352"/>
    <mergeCell ref="A353:P353"/>
    <mergeCell ref="V353:W353"/>
    <mergeCell ref="A348:P348"/>
    <mergeCell ref="V348:W348"/>
    <mergeCell ref="A349:P349"/>
    <mergeCell ref="V349:W349"/>
    <mergeCell ref="A350:P350"/>
    <mergeCell ref="V350:W350"/>
    <mergeCell ref="A345:P345"/>
    <mergeCell ref="V345:W345"/>
    <mergeCell ref="A346:P346"/>
    <mergeCell ref="V346:W346"/>
    <mergeCell ref="A347:P347"/>
    <mergeCell ref="V347:W347"/>
    <mergeCell ref="U343:W343"/>
    <mergeCell ref="X343:Y343"/>
    <mergeCell ref="A344:B344"/>
    <mergeCell ref="C344:I344"/>
    <mergeCell ref="J344:K344"/>
    <mergeCell ref="L344:P344"/>
    <mergeCell ref="Q344:R344"/>
    <mergeCell ref="S344:T344"/>
    <mergeCell ref="U344:W344"/>
    <mergeCell ref="X344:Y344"/>
    <mergeCell ref="A342:F342"/>
    <mergeCell ref="G342:K342"/>
    <mergeCell ref="M342:P342"/>
    <mergeCell ref="V342:W342"/>
    <mergeCell ref="A343:B343"/>
    <mergeCell ref="C343:I343"/>
    <mergeCell ref="J343:K343"/>
    <mergeCell ref="L343:P343"/>
    <mergeCell ref="Q343:R343"/>
    <mergeCell ref="S343:T343"/>
    <mergeCell ref="A340:F340"/>
    <mergeCell ref="G340:K340"/>
    <mergeCell ref="M340:P340"/>
    <mergeCell ref="V340:W340"/>
    <mergeCell ref="A341:F341"/>
    <mergeCell ref="G341:K341"/>
    <mergeCell ref="M341:P341"/>
    <mergeCell ref="V341:W341"/>
    <mergeCell ref="A338:F338"/>
    <mergeCell ref="G338:K338"/>
    <mergeCell ref="M338:P338"/>
    <mergeCell ref="V338:W338"/>
    <mergeCell ref="A339:F339"/>
    <mergeCell ref="G339:K339"/>
    <mergeCell ref="M339:P339"/>
    <mergeCell ref="V339:W339"/>
    <mergeCell ref="A336:F336"/>
    <mergeCell ref="G336:K336"/>
    <mergeCell ref="M336:P336"/>
    <mergeCell ref="V336:W336"/>
    <mergeCell ref="A337:F337"/>
    <mergeCell ref="G337:K337"/>
    <mergeCell ref="M337:P337"/>
    <mergeCell ref="V337:W337"/>
    <mergeCell ref="A334:F334"/>
    <mergeCell ref="G334:K334"/>
    <mergeCell ref="L334:Y334"/>
    <mergeCell ref="A335:F335"/>
    <mergeCell ref="G335:K335"/>
    <mergeCell ref="M335:P335"/>
    <mergeCell ref="V335:W335"/>
    <mergeCell ref="A332:G332"/>
    <mergeCell ref="H332:K332"/>
    <mergeCell ref="M332:P332"/>
    <mergeCell ref="V332:W332"/>
    <mergeCell ref="A333:G333"/>
    <mergeCell ref="H333:K333"/>
    <mergeCell ref="M333:P333"/>
    <mergeCell ref="V333:W333"/>
    <mergeCell ref="A330:G330"/>
    <mergeCell ref="H330:K330"/>
    <mergeCell ref="M330:P330"/>
    <mergeCell ref="V330:W330"/>
    <mergeCell ref="A331:G331"/>
    <mergeCell ref="H331:K331"/>
    <mergeCell ref="M331:P331"/>
    <mergeCell ref="V331:W331"/>
    <mergeCell ref="A328:K328"/>
    <mergeCell ref="M328:P328"/>
    <mergeCell ref="V328:W328"/>
    <mergeCell ref="A329:G329"/>
    <mergeCell ref="H329:K329"/>
    <mergeCell ref="M329:P329"/>
    <mergeCell ref="V329:W329"/>
    <mergeCell ref="X325:Y325"/>
    <mergeCell ref="A326:G326"/>
    <mergeCell ref="H326:K326"/>
    <mergeCell ref="M326:P326"/>
    <mergeCell ref="V326:W326"/>
    <mergeCell ref="A327:G327"/>
    <mergeCell ref="H327:K327"/>
    <mergeCell ref="M327:P327"/>
    <mergeCell ref="V327:W327"/>
    <mergeCell ref="A325:B325"/>
    <mergeCell ref="C325:J325"/>
    <mergeCell ref="L325:P325"/>
    <mergeCell ref="Q325:R325"/>
    <mergeCell ref="S325:T325"/>
    <mergeCell ref="U325:W325"/>
    <mergeCell ref="A324:J324"/>
    <mergeCell ref="L324:P324"/>
    <mergeCell ref="Q324:R324"/>
    <mergeCell ref="S324:T324"/>
    <mergeCell ref="U324:W324"/>
    <mergeCell ref="X324:Y324"/>
    <mergeCell ref="A322:G322"/>
    <mergeCell ref="I322:K322"/>
    <mergeCell ref="M322:P322"/>
    <mergeCell ref="V322:W322"/>
    <mergeCell ref="A323:G323"/>
    <mergeCell ref="I323:K323"/>
    <mergeCell ref="M323:P323"/>
    <mergeCell ref="V323:W323"/>
    <mergeCell ref="C319:G319"/>
    <mergeCell ref="I319:J319"/>
    <mergeCell ref="M319:O319"/>
    <mergeCell ref="V319:W319"/>
    <mergeCell ref="B320:Y320"/>
    <mergeCell ref="C321:G321"/>
    <mergeCell ref="I321:J321"/>
    <mergeCell ref="M321:O321"/>
    <mergeCell ref="V321:W321"/>
    <mergeCell ref="A317:G317"/>
    <mergeCell ref="I317:K317"/>
    <mergeCell ref="M317:P317"/>
    <mergeCell ref="V317:W317"/>
    <mergeCell ref="A318:G318"/>
    <mergeCell ref="I318:K318"/>
    <mergeCell ref="M318:P318"/>
    <mergeCell ref="V318:W318"/>
    <mergeCell ref="X315:Y315"/>
    <mergeCell ref="A316:B316"/>
    <mergeCell ref="C316:J316"/>
    <mergeCell ref="K316:O316"/>
    <mergeCell ref="Q316:R316"/>
    <mergeCell ref="S316:T316"/>
    <mergeCell ref="U316:W316"/>
    <mergeCell ref="X316:Y316"/>
    <mergeCell ref="A315:B315"/>
    <mergeCell ref="C315:J315"/>
    <mergeCell ref="K315:O315"/>
    <mergeCell ref="Q315:R315"/>
    <mergeCell ref="S315:T315"/>
    <mergeCell ref="U315:W315"/>
    <mergeCell ref="A312:O312"/>
    <mergeCell ref="V312:W312"/>
    <mergeCell ref="A313:O313"/>
    <mergeCell ref="V313:W313"/>
    <mergeCell ref="A314:O314"/>
    <mergeCell ref="V314:W314"/>
    <mergeCell ref="A309:O309"/>
    <mergeCell ref="V309:W309"/>
    <mergeCell ref="A310:O310"/>
    <mergeCell ref="V310:W310"/>
    <mergeCell ref="A311:O311"/>
    <mergeCell ref="V311:W311"/>
    <mergeCell ref="A306:O306"/>
    <mergeCell ref="V306:W306"/>
    <mergeCell ref="A307:O307"/>
    <mergeCell ref="V307:W307"/>
    <mergeCell ref="A308:O308"/>
    <mergeCell ref="V308:W308"/>
    <mergeCell ref="A303:O303"/>
    <mergeCell ref="V303:W303"/>
    <mergeCell ref="A304:O304"/>
    <mergeCell ref="V304:W304"/>
    <mergeCell ref="A305:O305"/>
    <mergeCell ref="V305:W305"/>
    <mergeCell ref="A300:O300"/>
    <mergeCell ref="V300:W300"/>
    <mergeCell ref="A301:O301"/>
    <mergeCell ref="V301:W301"/>
    <mergeCell ref="A302:O302"/>
    <mergeCell ref="V302:W302"/>
    <mergeCell ref="A297:O297"/>
    <mergeCell ref="V297:W297"/>
    <mergeCell ref="A298:O298"/>
    <mergeCell ref="V298:W298"/>
    <mergeCell ref="A299:O299"/>
    <mergeCell ref="V299:W299"/>
    <mergeCell ref="A294:O294"/>
    <mergeCell ref="P294:Y294"/>
    <mergeCell ref="A295:O295"/>
    <mergeCell ref="V295:W295"/>
    <mergeCell ref="A296:O296"/>
    <mergeCell ref="V296:W296"/>
    <mergeCell ref="A292:K292"/>
    <mergeCell ref="M292:P292"/>
    <mergeCell ref="V292:W292"/>
    <mergeCell ref="A293:K293"/>
    <mergeCell ref="M293:P293"/>
    <mergeCell ref="V293:W293"/>
    <mergeCell ref="A290:K290"/>
    <mergeCell ref="M290:P290"/>
    <mergeCell ref="V290:W290"/>
    <mergeCell ref="A291:K291"/>
    <mergeCell ref="M291:P291"/>
    <mergeCell ref="V291:W291"/>
    <mergeCell ref="A288:K288"/>
    <mergeCell ref="M288:P288"/>
    <mergeCell ref="V288:W288"/>
    <mergeCell ref="A289:K289"/>
    <mergeCell ref="M289:P289"/>
    <mergeCell ref="V289:W289"/>
    <mergeCell ref="A286:K286"/>
    <mergeCell ref="M286:P286"/>
    <mergeCell ref="V286:W286"/>
    <mergeCell ref="A287:K287"/>
    <mergeCell ref="M287:P287"/>
    <mergeCell ref="V287:W287"/>
    <mergeCell ref="A284:K284"/>
    <mergeCell ref="M284:P284"/>
    <mergeCell ref="V284:W284"/>
    <mergeCell ref="A285:K285"/>
    <mergeCell ref="M285:P285"/>
    <mergeCell ref="V285:W285"/>
    <mergeCell ref="A282:K282"/>
    <mergeCell ref="M282:P282"/>
    <mergeCell ref="V282:W282"/>
    <mergeCell ref="A283:K283"/>
    <mergeCell ref="M283:P283"/>
    <mergeCell ref="V283:W283"/>
    <mergeCell ref="A280:K280"/>
    <mergeCell ref="M280:P280"/>
    <mergeCell ref="V280:W280"/>
    <mergeCell ref="A281:K281"/>
    <mergeCell ref="M281:P281"/>
    <mergeCell ref="V281:W281"/>
    <mergeCell ref="A278:K278"/>
    <mergeCell ref="M278:P278"/>
    <mergeCell ref="V278:W278"/>
    <mergeCell ref="A279:K279"/>
    <mergeCell ref="M279:P279"/>
    <mergeCell ref="V279:W279"/>
    <mergeCell ref="U276:W276"/>
    <mergeCell ref="X276:Y276"/>
    <mergeCell ref="A277:B277"/>
    <mergeCell ref="C277:I277"/>
    <mergeCell ref="J277:K277"/>
    <mergeCell ref="L277:P277"/>
    <mergeCell ref="Q277:R277"/>
    <mergeCell ref="S277:T277"/>
    <mergeCell ref="U277:W277"/>
    <mergeCell ref="X277:Y277"/>
    <mergeCell ref="A276:B276"/>
    <mergeCell ref="C276:I276"/>
    <mergeCell ref="J276:K276"/>
    <mergeCell ref="L276:P276"/>
    <mergeCell ref="Q276:R276"/>
    <mergeCell ref="S276:T276"/>
    <mergeCell ref="A274:K274"/>
    <mergeCell ref="M274:P274"/>
    <mergeCell ref="V274:W274"/>
    <mergeCell ref="A275:K275"/>
    <mergeCell ref="M275:P275"/>
    <mergeCell ref="V275:W275"/>
    <mergeCell ref="A272:K272"/>
    <mergeCell ref="M272:P272"/>
    <mergeCell ref="V272:W272"/>
    <mergeCell ref="A273:K273"/>
    <mergeCell ref="M273:P273"/>
    <mergeCell ref="V273:W273"/>
    <mergeCell ref="A270:K270"/>
    <mergeCell ref="M270:P270"/>
    <mergeCell ref="V270:W270"/>
    <mergeCell ref="A271:K271"/>
    <mergeCell ref="M271:P271"/>
    <mergeCell ref="V271:W271"/>
    <mergeCell ref="A268:K268"/>
    <mergeCell ref="M268:P268"/>
    <mergeCell ref="V268:W268"/>
    <mergeCell ref="A269:K269"/>
    <mergeCell ref="M269:P269"/>
    <mergeCell ref="V269:W269"/>
    <mergeCell ref="A266:K266"/>
    <mergeCell ref="M266:P266"/>
    <mergeCell ref="V266:W266"/>
    <mergeCell ref="A267:K267"/>
    <mergeCell ref="M267:P267"/>
    <mergeCell ref="V267:W267"/>
    <mergeCell ref="A264:K264"/>
    <mergeCell ref="M264:P264"/>
    <mergeCell ref="V264:W264"/>
    <mergeCell ref="A265:K265"/>
    <mergeCell ref="M265:P265"/>
    <mergeCell ref="V265:W265"/>
    <mergeCell ref="A262:K262"/>
    <mergeCell ref="M262:P262"/>
    <mergeCell ref="V262:W262"/>
    <mergeCell ref="A263:K263"/>
    <mergeCell ref="M263:P263"/>
    <mergeCell ref="V263:W263"/>
    <mergeCell ref="A260:K260"/>
    <mergeCell ref="M260:P260"/>
    <mergeCell ref="V260:W260"/>
    <mergeCell ref="A261:K261"/>
    <mergeCell ref="M261:P261"/>
    <mergeCell ref="V261:W261"/>
    <mergeCell ref="U258:W258"/>
    <mergeCell ref="X258:Y258"/>
    <mergeCell ref="A259:B259"/>
    <mergeCell ref="C259:I259"/>
    <mergeCell ref="J259:K259"/>
    <mergeCell ref="L259:P259"/>
    <mergeCell ref="Q259:R259"/>
    <mergeCell ref="S259:T259"/>
    <mergeCell ref="U259:W259"/>
    <mergeCell ref="X259:Y259"/>
    <mergeCell ref="A257:G257"/>
    <mergeCell ref="I257:K257"/>
    <mergeCell ref="M257:P257"/>
    <mergeCell ref="V257:W257"/>
    <mergeCell ref="A258:B258"/>
    <mergeCell ref="C258:I258"/>
    <mergeCell ref="J258:K258"/>
    <mergeCell ref="L258:P258"/>
    <mergeCell ref="Q258:R258"/>
    <mergeCell ref="S258:T258"/>
    <mergeCell ref="B254:Y254"/>
    <mergeCell ref="C255:G255"/>
    <mergeCell ref="J255:K255"/>
    <mergeCell ref="M255:P255"/>
    <mergeCell ref="V255:W255"/>
    <mergeCell ref="A256:G256"/>
    <mergeCell ref="I256:K256"/>
    <mergeCell ref="M256:P256"/>
    <mergeCell ref="V256:W256"/>
    <mergeCell ref="A252:G252"/>
    <mergeCell ref="I252:K252"/>
    <mergeCell ref="M252:P252"/>
    <mergeCell ref="V252:W252"/>
    <mergeCell ref="A253:G253"/>
    <mergeCell ref="I253:K253"/>
    <mergeCell ref="M253:P253"/>
    <mergeCell ref="V253:W253"/>
    <mergeCell ref="X250:Y250"/>
    <mergeCell ref="A251:B251"/>
    <mergeCell ref="C251:I251"/>
    <mergeCell ref="J251:K251"/>
    <mergeCell ref="L251:P251"/>
    <mergeCell ref="Q251:R251"/>
    <mergeCell ref="S251:T251"/>
    <mergeCell ref="U251:W251"/>
    <mergeCell ref="X251:Y251"/>
    <mergeCell ref="A249:K249"/>
    <mergeCell ref="M249:P249"/>
    <mergeCell ref="V249:W249"/>
    <mergeCell ref="A250:I250"/>
    <mergeCell ref="J250:K250"/>
    <mergeCell ref="L250:P250"/>
    <mergeCell ref="Q250:R250"/>
    <mergeCell ref="S250:T250"/>
    <mergeCell ref="U250:W250"/>
    <mergeCell ref="A247:K247"/>
    <mergeCell ref="M247:P247"/>
    <mergeCell ref="V247:W247"/>
    <mergeCell ref="A248:K248"/>
    <mergeCell ref="M248:P248"/>
    <mergeCell ref="V248:W248"/>
    <mergeCell ref="A245:K245"/>
    <mergeCell ref="M245:P245"/>
    <mergeCell ref="V245:W245"/>
    <mergeCell ref="A246:K246"/>
    <mergeCell ref="M246:P246"/>
    <mergeCell ref="V246:W246"/>
    <mergeCell ref="A243:K243"/>
    <mergeCell ref="M243:P243"/>
    <mergeCell ref="V243:W243"/>
    <mergeCell ref="A244:K244"/>
    <mergeCell ref="M244:P244"/>
    <mergeCell ref="V244:W244"/>
    <mergeCell ref="X241:Y241"/>
    <mergeCell ref="A242:B242"/>
    <mergeCell ref="C242:I242"/>
    <mergeCell ref="J242:K242"/>
    <mergeCell ref="L242:P242"/>
    <mergeCell ref="Q242:R242"/>
    <mergeCell ref="S242:T242"/>
    <mergeCell ref="U242:W242"/>
    <mergeCell ref="X242:Y242"/>
    <mergeCell ref="A241:I241"/>
    <mergeCell ref="J241:K241"/>
    <mergeCell ref="L241:P241"/>
    <mergeCell ref="Q241:R241"/>
    <mergeCell ref="S241:T241"/>
    <mergeCell ref="U241:W241"/>
    <mergeCell ref="A239:K239"/>
    <mergeCell ref="M239:P239"/>
    <mergeCell ref="V239:W239"/>
    <mergeCell ref="A240:K240"/>
    <mergeCell ref="M240:P240"/>
    <mergeCell ref="V240:W240"/>
    <mergeCell ref="A237:K237"/>
    <mergeCell ref="M237:P237"/>
    <mergeCell ref="V237:W237"/>
    <mergeCell ref="A238:K238"/>
    <mergeCell ref="M238:P238"/>
    <mergeCell ref="V238:W238"/>
    <mergeCell ref="A235:K235"/>
    <mergeCell ref="M235:P235"/>
    <mergeCell ref="V235:W235"/>
    <mergeCell ref="A236:K236"/>
    <mergeCell ref="M236:P236"/>
    <mergeCell ref="V236:W236"/>
    <mergeCell ref="A233:K233"/>
    <mergeCell ref="M233:P233"/>
    <mergeCell ref="V233:W233"/>
    <mergeCell ref="A234:K234"/>
    <mergeCell ref="M234:P234"/>
    <mergeCell ref="V234:W234"/>
    <mergeCell ref="X231:Y231"/>
    <mergeCell ref="A232:B232"/>
    <mergeCell ref="C232:I232"/>
    <mergeCell ref="J232:K232"/>
    <mergeCell ref="L232:P232"/>
    <mergeCell ref="Q232:R232"/>
    <mergeCell ref="S232:T232"/>
    <mergeCell ref="U232:W232"/>
    <mergeCell ref="X232:Y232"/>
    <mergeCell ref="A230:K230"/>
    <mergeCell ref="M230:P230"/>
    <mergeCell ref="V230:W230"/>
    <mergeCell ref="A231:I231"/>
    <mergeCell ref="J231:K231"/>
    <mergeCell ref="L231:P231"/>
    <mergeCell ref="Q231:R231"/>
    <mergeCell ref="S231:T231"/>
    <mergeCell ref="U231:W231"/>
    <mergeCell ref="A228:K228"/>
    <mergeCell ref="M228:P228"/>
    <mergeCell ref="V228:W228"/>
    <mergeCell ref="A229:K229"/>
    <mergeCell ref="M229:P229"/>
    <mergeCell ref="V229:W229"/>
    <mergeCell ref="A226:K226"/>
    <mergeCell ref="M226:P226"/>
    <mergeCell ref="V226:W226"/>
    <mergeCell ref="A227:K227"/>
    <mergeCell ref="M227:P227"/>
    <mergeCell ref="V227:W227"/>
    <mergeCell ref="A224:K224"/>
    <mergeCell ref="M224:P224"/>
    <mergeCell ref="V224:W224"/>
    <mergeCell ref="A225:K225"/>
    <mergeCell ref="M225:P225"/>
    <mergeCell ref="V225:W225"/>
    <mergeCell ref="A222:K222"/>
    <mergeCell ref="M222:P222"/>
    <mergeCell ref="V222:W222"/>
    <mergeCell ref="A223:K223"/>
    <mergeCell ref="M223:P223"/>
    <mergeCell ref="V223:W223"/>
    <mergeCell ref="A220:K220"/>
    <mergeCell ref="M220:P220"/>
    <mergeCell ref="V220:W220"/>
    <mergeCell ref="A221:K221"/>
    <mergeCell ref="M221:P221"/>
    <mergeCell ref="V221:W221"/>
    <mergeCell ref="X218:Y218"/>
    <mergeCell ref="A219:B219"/>
    <mergeCell ref="C219:I219"/>
    <mergeCell ref="J219:K219"/>
    <mergeCell ref="L219:P219"/>
    <mergeCell ref="Q219:R219"/>
    <mergeCell ref="S219:T219"/>
    <mergeCell ref="U219:W219"/>
    <mergeCell ref="X219:Y219"/>
    <mergeCell ref="A217:G217"/>
    <mergeCell ref="I217:K217"/>
    <mergeCell ref="M217:P217"/>
    <mergeCell ref="V217:W217"/>
    <mergeCell ref="A218:I218"/>
    <mergeCell ref="J218:K218"/>
    <mergeCell ref="L218:P218"/>
    <mergeCell ref="Q218:R218"/>
    <mergeCell ref="S218:T218"/>
    <mergeCell ref="U218:W218"/>
    <mergeCell ref="B214:Y214"/>
    <mergeCell ref="C215:G215"/>
    <mergeCell ref="J215:K215"/>
    <mergeCell ref="M215:P215"/>
    <mergeCell ref="V215:W215"/>
    <mergeCell ref="A216:G216"/>
    <mergeCell ref="I216:K216"/>
    <mergeCell ref="M216:P216"/>
    <mergeCell ref="V216:W216"/>
    <mergeCell ref="A212:K212"/>
    <mergeCell ref="M212:P212"/>
    <mergeCell ref="V212:W212"/>
    <mergeCell ref="A213:K213"/>
    <mergeCell ref="M213:P213"/>
    <mergeCell ref="V213:W213"/>
    <mergeCell ref="A210:K210"/>
    <mergeCell ref="M210:P210"/>
    <mergeCell ref="V210:W210"/>
    <mergeCell ref="A211:K211"/>
    <mergeCell ref="M211:P211"/>
    <mergeCell ref="V211:W211"/>
    <mergeCell ref="A208:K208"/>
    <mergeCell ref="M208:P208"/>
    <mergeCell ref="V208:W208"/>
    <mergeCell ref="A209:K209"/>
    <mergeCell ref="M209:P209"/>
    <mergeCell ref="V209:W209"/>
    <mergeCell ref="A206:K206"/>
    <mergeCell ref="M206:P206"/>
    <mergeCell ref="V206:W206"/>
    <mergeCell ref="A207:K207"/>
    <mergeCell ref="M207:P207"/>
    <mergeCell ref="V207:W207"/>
    <mergeCell ref="X204:Y204"/>
    <mergeCell ref="A205:B205"/>
    <mergeCell ref="C205:J205"/>
    <mergeCell ref="L205:P205"/>
    <mergeCell ref="Q205:R205"/>
    <mergeCell ref="S205:T205"/>
    <mergeCell ref="U205:W205"/>
    <mergeCell ref="X205:Y205"/>
    <mergeCell ref="A203:G203"/>
    <mergeCell ref="I203:K203"/>
    <mergeCell ref="M203:P203"/>
    <mergeCell ref="V203:W203"/>
    <mergeCell ref="A204:B204"/>
    <mergeCell ref="C204:J204"/>
    <mergeCell ref="L204:P204"/>
    <mergeCell ref="Q204:R204"/>
    <mergeCell ref="S204:T204"/>
    <mergeCell ref="U204:W204"/>
    <mergeCell ref="A201:G201"/>
    <mergeCell ref="I201:K201"/>
    <mergeCell ref="M201:P201"/>
    <mergeCell ref="V201:W201"/>
    <mergeCell ref="A202:G202"/>
    <mergeCell ref="I202:K202"/>
    <mergeCell ref="M202:P202"/>
    <mergeCell ref="V202:W202"/>
    <mergeCell ref="A199:G199"/>
    <mergeCell ref="H199:K199"/>
    <mergeCell ref="M199:P199"/>
    <mergeCell ref="V199:W199"/>
    <mergeCell ref="A200:G200"/>
    <mergeCell ref="I200:K200"/>
    <mergeCell ref="M200:P200"/>
    <mergeCell ref="V200:W200"/>
    <mergeCell ref="A197:G197"/>
    <mergeCell ref="I197:K197"/>
    <mergeCell ref="M197:P197"/>
    <mergeCell ref="V197:W197"/>
    <mergeCell ref="A198:G198"/>
    <mergeCell ref="I198:K198"/>
    <mergeCell ref="M198:P198"/>
    <mergeCell ref="V198:W198"/>
    <mergeCell ref="X195:Y195"/>
    <mergeCell ref="A196:B196"/>
    <mergeCell ref="C196:J196"/>
    <mergeCell ref="L196:P196"/>
    <mergeCell ref="Q196:R196"/>
    <mergeCell ref="S196:T196"/>
    <mergeCell ref="U196:W196"/>
    <mergeCell ref="X196:Y196"/>
    <mergeCell ref="A194:H194"/>
    <mergeCell ref="I194:O194"/>
    <mergeCell ref="V194:W194"/>
    <mergeCell ref="A195:B195"/>
    <mergeCell ref="C195:J195"/>
    <mergeCell ref="L195:P195"/>
    <mergeCell ref="Q195:R195"/>
    <mergeCell ref="S195:T195"/>
    <mergeCell ref="U195:W195"/>
    <mergeCell ref="A192:H192"/>
    <mergeCell ref="I192:O192"/>
    <mergeCell ref="V192:W192"/>
    <mergeCell ref="A193:H193"/>
    <mergeCell ref="I193:O193"/>
    <mergeCell ref="V193:W193"/>
    <mergeCell ref="A190:H190"/>
    <mergeCell ref="I190:O190"/>
    <mergeCell ref="V190:W190"/>
    <mergeCell ref="A191:H191"/>
    <mergeCell ref="I191:O191"/>
    <mergeCell ref="V191:W191"/>
    <mergeCell ref="A188:H188"/>
    <mergeCell ref="I188:O188"/>
    <mergeCell ref="V188:W188"/>
    <mergeCell ref="A189:H189"/>
    <mergeCell ref="I189:O189"/>
    <mergeCell ref="V189:W189"/>
    <mergeCell ref="X186:Y186"/>
    <mergeCell ref="A187:B187"/>
    <mergeCell ref="C187:J187"/>
    <mergeCell ref="L187:P187"/>
    <mergeCell ref="Q187:R187"/>
    <mergeCell ref="S187:T187"/>
    <mergeCell ref="U187:W187"/>
    <mergeCell ref="X187:Y187"/>
    <mergeCell ref="A185:K185"/>
    <mergeCell ref="M185:P185"/>
    <mergeCell ref="V185:W185"/>
    <mergeCell ref="A186:B186"/>
    <mergeCell ref="C186:J186"/>
    <mergeCell ref="L186:P186"/>
    <mergeCell ref="Q186:R186"/>
    <mergeCell ref="S186:T186"/>
    <mergeCell ref="U186:W186"/>
    <mergeCell ref="A183:K183"/>
    <mergeCell ref="M183:P183"/>
    <mergeCell ref="V183:W183"/>
    <mergeCell ref="A184:K184"/>
    <mergeCell ref="M184:P184"/>
    <mergeCell ref="V184:W184"/>
    <mergeCell ref="A181:G181"/>
    <mergeCell ref="I181:K181"/>
    <mergeCell ref="M181:P181"/>
    <mergeCell ref="V181:W181"/>
    <mergeCell ref="A182:K182"/>
    <mergeCell ref="M182:P182"/>
    <mergeCell ref="V182:W182"/>
    <mergeCell ref="A179:G179"/>
    <mergeCell ref="I179:K179"/>
    <mergeCell ref="M179:P179"/>
    <mergeCell ref="V179:W179"/>
    <mergeCell ref="A180:G180"/>
    <mergeCell ref="I180:K180"/>
    <mergeCell ref="M180:P180"/>
    <mergeCell ref="V180:W180"/>
    <mergeCell ref="A177:G177"/>
    <mergeCell ref="I177:K177"/>
    <mergeCell ref="M177:P177"/>
    <mergeCell ref="V177:W177"/>
    <mergeCell ref="A178:G178"/>
    <mergeCell ref="I178:K178"/>
    <mergeCell ref="M178:P178"/>
    <mergeCell ref="V178:W178"/>
    <mergeCell ref="A175:G175"/>
    <mergeCell ref="I175:K175"/>
    <mergeCell ref="M175:P175"/>
    <mergeCell ref="V175:W175"/>
    <mergeCell ref="A176:G176"/>
    <mergeCell ref="I176:K176"/>
    <mergeCell ref="M176:P176"/>
    <mergeCell ref="V176:W176"/>
    <mergeCell ref="A172:K172"/>
    <mergeCell ref="M172:P172"/>
    <mergeCell ref="V172:W172"/>
    <mergeCell ref="B173:Y173"/>
    <mergeCell ref="C174:G174"/>
    <mergeCell ref="I174:J174"/>
    <mergeCell ref="M174:O174"/>
    <mergeCell ref="V174:W174"/>
    <mergeCell ref="A170:K170"/>
    <mergeCell ref="M170:P170"/>
    <mergeCell ref="V170:W170"/>
    <mergeCell ref="A171:K171"/>
    <mergeCell ref="M171:P171"/>
    <mergeCell ref="V171:W171"/>
    <mergeCell ref="A168:K168"/>
    <mergeCell ref="M168:P168"/>
    <mergeCell ref="V168:W168"/>
    <mergeCell ref="A169:K169"/>
    <mergeCell ref="M169:P169"/>
    <mergeCell ref="V169:W169"/>
    <mergeCell ref="A166:K166"/>
    <mergeCell ref="M166:P166"/>
    <mergeCell ref="V166:W166"/>
    <mergeCell ref="A167:K167"/>
    <mergeCell ref="M167:P167"/>
    <mergeCell ref="V167:W167"/>
    <mergeCell ref="A164:K164"/>
    <mergeCell ref="M164:P164"/>
    <mergeCell ref="V164:W164"/>
    <mergeCell ref="A165:K165"/>
    <mergeCell ref="M165:P165"/>
    <mergeCell ref="V165:W165"/>
    <mergeCell ref="X162:Y162"/>
    <mergeCell ref="A163:B163"/>
    <mergeCell ref="C163:J163"/>
    <mergeCell ref="L163:P163"/>
    <mergeCell ref="Q163:R163"/>
    <mergeCell ref="S163:T163"/>
    <mergeCell ref="U163:W163"/>
    <mergeCell ref="X163:Y163"/>
    <mergeCell ref="A162:B162"/>
    <mergeCell ref="C162:J162"/>
    <mergeCell ref="L162:P162"/>
    <mergeCell ref="Q162:R162"/>
    <mergeCell ref="S162:T162"/>
    <mergeCell ref="U162:W162"/>
    <mergeCell ref="A160:G160"/>
    <mergeCell ref="I160:K160"/>
    <mergeCell ref="M160:P160"/>
    <mergeCell ref="V160:W160"/>
    <mergeCell ref="A161:G161"/>
    <mergeCell ref="I161:K161"/>
    <mergeCell ref="M161:P161"/>
    <mergeCell ref="V161:W161"/>
    <mergeCell ref="A158:G158"/>
    <mergeCell ref="I158:K158"/>
    <mergeCell ref="M158:P158"/>
    <mergeCell ref="V158:W158"/>
    <mergeCell ref="A159:G159"/>
    <mergeCell ref="I159:K159"/>
    <mergeCell ref="M159:P159"/>
    <mergeCell ref="V159:W159"/>
    <mergeCell ref="A156:D156"/>
    <mergeCell ref="E156:K156"/>
    <mergeCell ref="M156:P156"/>
    <mergeCell ref="V156:Y156"/>
    <mergeCell ref="A157:G157"/>
    <mergeCell ref="I157:K157"/>
    <mergeCell ref="M157:P157"/>
    <mergeCell ref="V157:W157"/>
    <mergeCell ref="A154:D154"/>
    <mergeCell ref="E154:K154"/>
    <mergeCell ref="M154:P154"/>
    <mergeCell ref="V154:Y154"/>
    <mergeCell ref="A155:D155"/>
    <mergeCell ref="E155:K155"/>
    <mergeCell ref="M155:P155"/>
    <mergeCell ref="V155:Y155"/>
    <mergeCell ref="X152:Y152"/>
    <mergeCell ref="A153:B153"/>
    <mergeCell ref="C153:J153"/>
    <mergeCell ref="L153:P153"/>
    <mergeCell ref="Q153:R153"/>
    <mergeCell ref="S153:T153"/>
    <mergeCell ref="U153:W153"/>
    <mergeCell ref="X153:Y153"/>
    <mergeCell ref="A151:E151"/>
    <mergeCell ref="F151:K151"/>
    <mergeCell ref="M151:P151"/>
    <mergeCell ref="V151:W151"/>
    <mergeCell ref="A152:B152"/>
    <mergeCell ref="C152:J152"/>
    <mergeCell ref="L152:P152"/>
    <mergeCell ref="Q152:R152"/>
    <mergeCell ref="S152:T152"/>
    <mergeCell ref="U152:W152"/>
    <mergeCell ref="A149:E149"/>
    <mergeCell ref="F149:K149"/>
    <mergeCell ref="M149:P149"/>
    <mergeCell ref="V149:W149"/>
    <mergeCell ref="A150:E150"/>
    <mergeCell ref="F150:K150"/>
    <mergeCell ref="M150:P150"/>
    <mergeCell ref="V150:W150"/>
    <mergeCell ref="A147:E147"/>
    <mergeCell ref="F147:K147"/>
    <mergeCell ref="M147:P147"/>
    <mergeCell ref="V147:W147"/>
    <mergeCell ref="A148:E148"/>
    <mergeCell ref="F148:K148"/>
    <mergeCell ref="M148:P148"/>
    <mergeCell ref="V148:W148"/>
    <mergeCell ref="A145:E145"/>
    <mergeCell ref="F145:K145"/>
    <mergeCell ref="M145:P145"/>
    <mergeCell ref="V145:W145"/>
    <mergeCell ref="A146:E146"/>
    <mergeCell ref="F146:K146"/>
    <mergeCell ref="M146:P146"/>
    <mergeCell ref="V146:W146"/>
    <mergeCell ref="X143:Y143"/>
    <mergeCell ref="A144:B144"/>
    <mergeCell ref="C144:J144"/>
    <mergeCell ref="L144:P144"/>
    <mergeCell ref="Q144:R144"/>
    <mergeCell ref="S144:T144"/>
    <mergeCell ref="U144:W144"/>
    <mergeCell ref="X144:Y144"/>
    <mergeCell ref="A143:B143"/>
    <mergeCell ref="C143:J143"/>
    <mergeCell ref="L143:P143"/>
    <mergeCell ref="Q143:R143"/>
    <mergeCell ref="S143:T143"/>
    <mergeCell ref="U143:W143"/>
    <mergeCell ref="A141:G141"/>
    <mergeCell ref="H141:K141"/>
    <mergeCell ref="M141:P141"/>
    <mergeCell ref="V141:W141"/>
    <mergeCell ref="A142:G142"/>
    <mergeCell ref="H142:K142"/>
    <mergeCell ref="M142:P142"/>
    <mergeCell ref="V142:W142"/>
    <mergeCell ref="A139:G139"/>
    <mergeCell ref="H139:K139"/>
    <mergeCell ref="M139:P139"/>
    <mergeCell ref="V139:W139"/>
    <mergeCell ref="A140:G140"/>
    <mergeCell ref="H140:K140"/>
    <mergeCell ref="M140:P140"/>
    <mergeCell ref="V140:W140"/>
    <mergeCell ref="A137:G137"/>
    <mergeCell ref="H137:K137"/>
    <mergeCell ref="M137:P137"/>
    <mergeCell ref="V137:W137"/>
    <mergeCell ref="A138:G138"/>
    <mergeCell ref="H138:K138"/>
    <mergeCell ref="M138:P138"/>
    <mergeCell ref="V138:W138"/>
    <mergeCell ref="A135:G135"/>
    <mergeCell ref="H135:K135"/>
    <mergeCell ref="M135:P135"/>
    <mergeCell ref="V135:W135"/>
    <mergeCell ref="A136:G136"/>
    <mergeCell ref="H136:K136"/>
    <mergeCell ref="M136:P136"/>
    <mergeCell ref="V136:W136"/>
    <mergeCell ref="A133:G133"/>
    <mergeCell ref="H133:K133"/>
    <mergeCell ref="M133:P133"/>
    <mergeCell ref="V133:W133"/>
    <mergeCell ref="A134:G134"/>
    <mergeCell ref="H134:K134"/>
    <mergeCell ref="M134:P134"/>
    <mergeCell ref="V134:W134"/>
    <mergeCell ref="B131:Z131"/>
    <mergeCell ref="C132:D132"/>
    <mergeCell ref="F132:G132"/>
    <mergeCell ref="I132:J132"/>
    <mergeCell ref="M132:P132"/>
    <mergeCell ref="V132:W132"/>
    <mergeCell ref="A129:K129"/>
    <mergeCell ref="M129:P129"/>
    <mergeCell ref="V129:W129"/>
    <mergeCell ref="A130:K130"/>
    <mergeCell ref="M130:P130"/>
    <mergeCell ref="V130:W130"/>
    <mergeCell ref="A127:K127"/>
    <mergeCell ref="M127:P127"/>
    <mergeCell ref="V127:W127"/>
    <mergeCell ref="A128:K128"/>
    <mergeCell ref="M128:P128"/>
    <mergeCell ref="V128:W128"/>
    <mergeCell ref="A125:K125"/>
    <mergeCell ref="M125:P125"/>
    <mergeCell ref="V125:W125"/>
    <mergeCell ref="A126:K126"/>
    <mergeCell ref="M126:P126"/>
    <mergeCell ref="V126:W126"/>
    <mergeCell ref="U123:W123"/>
    <mergeCell ref="X123:Y123"/>
    <mergeCell ref="A124:C124"/>
    <mergeCell ref="D124:J124"/>
    <mergeCell ref="K124:L124"/>
    <mergeCell ref="M124:P124"/>
    <mergeCell ref="Q124:R124"/>
    <mergeCell ref="S124:T124"/>
    <mergeCell ref="U124:W124"/>
    <mergeCell ref="X124:Y124"/>
    <mergeCell ref="A123:C123"/>
    <mergeCell ref="D123:J123"/>
    <mergeCell ref="K123:L123"/>
    <mergeCell ref="M123:P123"/>
    <mergeCell ref="Q123:R123"/>
    <mergeCell ref="S123:T123"/>
    <mergeCell ref="A121:L121"/>
    <mergeCell ref="M121:P121"/>
    <mergeCell ref="V121:W121"/>
    <mergeCell ref="A122:L122"/>
    <mergeCell ref="M122:P122"/>
    <mergeCell ref="V122:W122"/>
    <mergeCell ref="A119:L119"/>
    <mergeCell ref="M119:P119"/>
    <mergeCell ref="V119:W119"/>
    <mergeCell ref="A120:L120"/>
    <mergeCell ref="M120:P120"/>
    <mergeCell ref="V120:W120"/>
    <mergeCell ref="A117:L117"/>
    <mergeCell ref="M117:P117"/>
    <mergeCell ref="V117:W117"/>
    <mergeCell ref="A118:L118"/>
    <mergeCell ref="M118:P118"/>
    <mergeCell ref="V118:W118"/>
    <mergeCell ref="A115:L115"/>
    <mergeCell ref="M115:P115"/>
    <mergeCell ref="V115:W115"/>
    <mergeCell ref="A116:L116"/>
    <mergeCell ref="M116:P116"/>
    <mergeCell ref="V116:W116"/>
    <mergeCell ref="A113:L113"/>
    <mergeCell ref="M113:P113"/>
    <mergeCell ref="V113:W113"/>
    <mergeCell ref="A114:L114"/>
    <mergeCell ref="M114:P114"/>
    <mergeCell ref="V114:W114"/>
    <mergeCell ref="A111:L111"/>
    <mergeCell ref="M111:P111"/>
    <mergeCell ref="V111:W111"/>
    <mergeCell ref="A112:L112"/>
    <mergeCell ref="M112:P112"/>
    <mergeCell ref="V112:W112"/>
    <mergeCell ref="A109:L109"/>
    <mergeCell ref="M109:P109"/>
    <mergeCell ref="V109:W109"/>
    <mergeCell ref="A110:L110"/>
    <mergeCell ref="M110:P110"/>
    <mergeCell ref="V110:W110"/>
    <mergeCell ref="X107:Y107"/>
    <mergeCell ref="A108:C108"/>
    <mergeCell ref="D108:J108"/>
    <mergeCell ref="K108:L108"/>
    <mergeCell ref="M108:P108"/>
    <mergeCell ref="Q108:R108"/>
    <mergeCell ref="S108:T108"/>
    <mergeCell ref="U108:W108"/>
    <mergeCell ref="X108:Y108"/>
    <mergeCell ref="A106:P106"/>
    <mergeCell ref="V106:W106"/>
    <mergeCell ref="A107:C107"/>
    <mergeCell ref="D107:J107"/>
    <mergeCell ref="K107:L107"/>
    <mergeCell ref="M107:P107"/>
    <mergeCell ref="Q107:R107"/>
    <mergeCell ref="S107:T107"/>
    <mergeCell ref="U107:W107"/>
    <mergeCell ref="A103:P103"/>
    <mergeCell ref="V103:W103"/>
    <mergeCell ref="A104:P104"/>
    <mergeCell ref="V104:W104"/>
    <mergeCell ref="A105:P105"/>
    <mergeCell ref="V105:W105"/>
    <mergeCell ref="A100:P100"/>
    <mergeCell ref="V100:W100"/>
    <mergeCell ref="A101:P101"/>
    <mergeCell ref="V101:W101"/>
    <mergeCell ref="A102:P102"/>
    <mergeCell ref="V102:W102"/>
    <mergeCell ref="A97:P97"/>
    <mergeCell ref="V97:W97"/>
    <mergeCell ref="A98:P98"/>
    <mergeCell ref="V98:W98"/>
    <mergeCell ref="A99:P99"/>
    <mergeCell ref="V99:W99"/>
    <mergeCell ref="A94:P94"/>
    <mergeCell ref="V94:W94"/>
    <mergeCell ref="A95:P95"/>
    <mergeCell ref="V95:W95"/>
    <mergeCell ref="A96:P96"/>
    <mergeCell ref="V96:W96"/>
    <mergeCell ref="X90:Y90"/>
    <mergeCell ref="A91:P91"/>
    <mergeCell ref="V91:W91"/>
    <mergeCell ref="A92:P92"/>
    <mergeCell ref="V92:W92"/>
    <mergeCell ref="A93:P93"/>
    <mergeCell ref="V93:W93"/>
    <mergeCell ref="A90:J90"/>
    <mergeCell ref="K90:L90"/>
    <mergeCell ref="M90:P90"/>
    <mergeCell ref="Q90:R90"/>
    <mergeCell ref="S90:T90"/>
    <mergeCell ref="U90:W90"/>
    <mergeCell ref="A87:G87"/>
    <mergeCell ref="H87:K87"/>
    <mergeCell ref="M87:P87"/>
    <mergeCell ref="V87:W87"/>
    <mergeCell ref="B88:Y88"/>
    <mergeCell ref="B89:C89"/>
    <mergeCell ref="D89:J89"/>
    <mergeCell ref="M89:P89"/>
    <mergeCell ref="V89:W89"/>
    <mergeCell ref="A85:G85"/>
    <mergeCell ref="H85:K85"/>
    <mergeCell ref="M85:P85"/>
    <mergeCell ref="V85:W85"/>
    <mergeCell ref="A86:G86"/>
    <mergeCell ref="H86:K86"/>
    <mergeCell ref="M86:P86"/>
    <mergeCell ref="V86:W86"/>
    <mergeCell ref="A83:G83"/>
    <mergeCell ref="H83:K83"/>
    <mergeCell ref="M83:P83"/>
    <mergeCell ref="V83:W83"/>
    <mergeCell ref="A84:G84"/>
    <mergeCell ref="H84:K84"/>
    <mergeCell ref="M84:P84"/>
    <mergeCell ref="V84:W84"/>
    <mergeCell ref="A81:G81"/>
    <mergeCell ref="H81:K81"/>
    <mergeCell ref="M81:P81"/>
    <mergeCell ref="V81:W81"/>
    <mergeCell ref="A82:G82"/>
    <mergeCell ref="H82:K82"/>
    <mergeCell ref="M82:P82"/>
    <mergeCell ref="V82:W82"/>
    <mergeCell ref="A79:G79"/>
    <mergeCell ref="H79:K79"/>
    <mergeCell ref="M79:P79"/>
    <mergeCell ref="V79:W79"/>
    <mergeCell ref="A80:G80"/>
    <mergeCell ref="H80:K80"/>
    <mergeCell ref="M80:P80"/>
    <mergeCell ref="V80:W80"/>
    <mergeCell ref="X77:Y77"/>
    <mergeCell ref="A78:B78"/>
    <mergeCell ref="C78:J78"/>
    <mergeCell ref="L78:P78"/>
    <mergeCell ref="Q78:R78"/>
    <mergeCell ref="S78:T78"/>
    <mergeCell ref="U78:W78"/>
    <mergeCell ref="X78:Y78"/>
    <mergeCell ref="A77:B77"/>
    <mergeCell ref="C77:J77"/>
    <mergeCell ref="L77:P77"/>
    <mergeCell ref="Q77:R77"/>
    <mergeCell ref="S77:T77"/>
    <mergeCell ref="U77:W77"/>
    <mergeCell ref="A75:M75"/>
    <mergeCell ref="N75:P75"/>
    <mergeCell ref="V75:W75"/>
    <mergeCell ref="A76:M76"/>
    <mergeCell ref="N76:P76"/>
    <mergeCell ref="V76:W76"/>
    <mergeCell ref="A73:M73"/>
    <mergeCell ref="N73:P73"/>
    <mergeCell ref="V73:W73"/>
    <mergeCell ref="A74:M74"/>
    <mergeCell ref="N74:P74"/>
    <mergeCell ref="V74:W74"/>
    <mergeCell ref="A71:M71"/>
    <mergeCell ref="N71:P71"/>
    <mergeCell ref="V71:W71"/>
    <mergeCell ref="A72:M72"/>
    <mergeCell ref="N72:P72"/>
    <mergeCell ref="V72:W72"/>
    <mergeCell ref="A69:M69"/>
    <mergeCell ref="N69:P69"/>
    <mergeCell ref="V69:W69"/>
    <mergeCell ref="A70:M70"/>
    <mergeCell ref="N70:P70"/>
    <mergeCell ref="V70:W70"/>
    <mergeCell ref="A67:M67"/>
    <mergeCell ref="N67:P67"/>
    <mergeCell ref="V67:W67"/>
    <mergeCell ref="A68:M68"/>
    <mergeCell ref="N68:P68"/>
    <mergeCell ref="V68:W68"/>
    <mergeCell ref="A65:M65"/>
    <mergeCell ref="N65:P65"/>
    <mergeCell ref="V65:W65"/>
    <mergeCell ref="A66:M66"/>
    <mergeCell ref="N66:P66"/>
    <mergeCell ref="V66:W66"/>
    <mergeCell ref="A63:M63"/>
    <mergeCell ref="N63:P63"/>
    <mergeCell ref="V63:W63"/>
    <mergeCell ref="A64:M64"/>
    <mergeCell ref="N64:P64"/>
    <mergeCell ref="V64:W64"/>
    <mergeCell ref="A61:M61"/>
    <mergeCell ref="N61:P61"/>
    <mergeCell ref="V61:W61"/>
    <mergeCell ref="A62:M62"/>
    <mergeCell ref="N62:P62"/>
    <mergeCell ref="V62:W62"/>
    <mergeCell ref="A59:F59"/>
    <mergeCell ref="G59:K59"/>
    <mergeCell ref="M59:P59"/>
    <mergeCell ref="V59:W59"/>
    <mergeCell ref="A60:M60"/>
    <mergeCell ref="N60:P60"/>
    <mergeCell ref="V60:W60"/>
    <mergeCell ref="A57:F57"/>
    <mergeCell ref="G57:K57"/>
    <mergeCell ref="M57:P57"/>
    <mergeCell ref="V57:W57"/>
    <mergeCell ref="A58:F58"/>
    <mergeCell ref="G58:K58"/>
    <mergeCell ref="M58:P58"/>
    <mergeCell ref="V58:W58"/>
    <mergeCell ref="A55:F55"/>
    <mergeCell ref="G55:K55"/>
    <mergeCell ref="M55:P55"/>
    <mergeCell ref="V55:W55"/>
    <mergeCell ref="A56:F56"/>
    <mergeCell ref="G56:K56"/>
    <mergeCell ref="M56:P56"/>
    <mergeCell ref="V56:W56"/>
    <mergeCell ref="A53:F53"/>
    <mergeCell ref="G53:K53"/>
    <mergeCell ref="M53:P53"/>
    <mergeCell ref="V53:W53"/>
    <mergeCell ref="A54:F54"/>
    <mergeCell ref="G54:K54"/>
    <mergeCell ref="M54:P54"/>
    <mergeCell ref="V54:W54"/>
    <mergeCell ref="X51:Y51"/>
    <mergeCell ref="A52:B52"/>
    <mergeCell ref="C52:J52"/>
    <mergeCell ref="L52:P52"/>
    <mergeCell ref="Q52:R52"/>
    <mergeCell ref="S52:T52"/>
    <mergeCell ref="U52:W52"/>
    <mergeCell ref="X52:Y52"/>
    <mergeCell ref="A51:B51"/>
    <mergeCell ref="C51:J51"/>
    <mergeCell ref="L51:P51"/>
    <mergeCell ref="Q51:R51"/>
    <mergeCell ref="S51:T51"/>
    <mergeCell ref="U51:W51"/>
    <mergeCell ref="A49:G49"/>
    <mergeCell ref="I49:K49"/>
    <mergeCell ref="M49:P49"/>
    <mergeCell ref="V49:W49"/>
    <mergeCell ref="A50:G50"/>
    <mergeCell ref="I50:K50"/>
    <mergeCell ref="M50:P50"/>
    <mergeCell ref="V50:W50"/>
    <mergeCell ref="A46:G46"/>
    <mergeCell ref="I46:K46"/>
    <mergeCell ref="M46:P46"/>
    <mergeCell ref="V46:W46"/>
    <mergeCell ref="B47:Y47"/>
    <mergeCell ref="C48:F48"/>
    <mergeCell ref="I48:J48"/>
    <mergeCell ref="N48:P48"/>
    <mergeCell ref="V48:W48"/>
    <mergeCell ref="A44:G44"/>
    <mergeCell ref="I44:K44"/>
    <mergeCell ref="M44:P44"/>
    <mergeCell ref="V44:W44"/>
    <mergeCell ref="A45:G45"/>
    <mergeCell ref="I45:K45"/>
    <mergeCell ref="M45:P45"/>
    <mergeCell ref="V45:W45"/>
    <mergeCell ref="A42:G42"/>
    <mergeCell ref="I42:K42"/>
    <mergeCell ref="M42:P42"/>
    <mergeCell ref="V42:W42"/>
    <mergeCell ref="A43:G43"/>
    <mergeCell ref="I43:K43"/>
    <mergeCell ref="M43:P43"/>
    <mergeCell ref="V43:W43"/>
    <mergeCell ref="A40:D40"/>
    <mergeCell ref="E40:L40"/>
    <mergeCell ref="M40:P40"/>
    <mergeCell ref="V40:Y40"/>
    <mergeCell ref="A41:D41"/>
    <mergeCell ref="E41:L41"/>
    <mergeCell ref="M41:P41"/>
    <mergeCell ref="V41:Y41"/>
    <mergeCell ref="A38:D38"/>
    <mergeCell ref="E38:L38"/>
    <mergeCell ref="M38:P38"/>
    <mergeCell ref="V38:Y38"/>
    <mergeCell ref="A39:D39"/>
    <mergeCell ref="E39:L39"/>
    <mergeCell ref="M39:P39"/>
    <mergeCell ref="V39:Y39"/>
    <mergeCell ref="A36:D36"/>
    <mergeCell ref="E36:L36"/>
    <mergeCell ref="M36:P36"/>
    <mergeCell ref="V36:Y36"/>
    <mergeCell ref="A37:D37"/>
    <mergeCell ref="E37:L37"/>
    <mergeCell ref="M37:P37"/>
    <mergeCell ref="V37:Y37"/>
    <mergeCell ref="A34:D34"/>
    <mergeCell ref="E34:L34"/>
    <mergeCell ref="M34:P34"/>
    <mergeCell ref="V34:Y34"/>
    <mergeCell ref="A35:D35"/>
    <mergeCell ref="E35:L35"/>
    <mergeCell ref="M35:P35"/>
    <mergeCell ref="V35:Y35"/>
    <mergeCell ref="X32:Y32"/>
    <mergeCell ref="A33:B33"/>
    <mergeCell ref="C33:I33"/>
    <mergeCell ref="J33:K33"/>
    <mergeCell ref="L33:P33"/>
    <mergeCell ref="Q33:R33"/>
    <mergeCell ref="S33:T33"/>
    <mergeCell ref="U33:W33"/>
    <mergeCell ref="X33:Y33"/>
    <mergeCell ref="A31:G31"/>
    <mergeCell ref="I31:L31"/>
    <mergeCell ref="M31:P31"/>
    <mergeCell ref="V31:W31"/>
    <mergeCell ref="A32:I32"/>
    <mergeCell ref="J32:K32"/>
    <mergeCell ref="L32:P32"/>
    <mergeCell ref="Q32:R32"/>
    <mergeCell ref="S32:T32"/>
    <mergeCell ref="U32:W32"/>
    <mergeCell ref="A29:G29"/>
    <mergeCell ref="I29:L29"/>
    <mergeCell ref="M29:P29"/>
    <mergeCell ref="V29:W29"/>
    <mergeCell ref="A30:G30"/>
    <mergeCell ref="I30:L30"/>
    <mergeCell ref="M30:P30"/>
    <mergeCell ref="V30:W30"/>
    <mergeCell ref="A27:G27"/>
    <mergeCell ref="H27:L27"/>
    <mergeCell ref="M27:P27"/>
    <mergeCell ref="V27:W27"/>
    <mergeCell ref="A28:G28"/>
    <mergeCell ref="I28:L28"/>
    <mergeCell ref="M28:P28"/>
    <mergeCell ref="V28:W28"/>
    <mergeCell ref="A25:G25"/>
    <mergeCell ref="I25:L25"/>
    <mergeCell ref="M25:P25"/>
    <mergeCell ref="V25:W25"/>
    <mergeCell ref="A26:G26"/>
    <mergeCell ref="I26:L26"/>
    <mergeCell ref="M26:P26"/>
    <mergeCell ref="V26:W26"/>
    <mergeCell ref="X23:Y23"/>
    <mergeCell ref="A24:B24"/>
    <mergeCell ref="C24:I24"/>
    <mergeCell ref="J24:K24"/>
    <mergeCell ref="L24:P24"/>
    <mergeCell ref="Q24:R24"/>
    <mergeCell ref="S24:T24"/>
    <mergeCell ref="U24:W24"/>
    <mergeCell ref="X24:Y24"/>
    <mergeCell ref="A22:G22"/>
    <mergeCell ref="I22:K22"/>
    <mergeCell ref="M22:P22"/>
    <mergeCell ref="V22:W22"/>
    <mergeCell ref="A23:I23"/>
    <mergeCell ref="J23:K23"/>
    <mergeCell ref="L23:P23"/>
    <mergeCell ref="Q23:R23"/>
    <mergeCell ref="S23:T23"/>
    <mergeCell ref="U23:W23"/>
    <mergeCell ref="A20:G20"/>
    <mergeCell ref="I20:K20"/>
    <mergeCell ref="M20:P20"/>
    <mergeCell ref="V20:W20"/>
    <mergeCell ref="A21:G21"/>
    <mergeCell ref="I21:K21"/>
    <mergeCell ref="M21:P21"/>
    <mergeCell ref="V21:W21"/>
    <mergeCell ref="A18:G18"/>
    <mergeCell ref="I18:K18"/>
    <mergeCell ref="M18:P18"/>
    <mergeCell ref="V18:W18"/>
    <mergeCell ref="A19:G19"/>
    <mergeCell ref="I19:K19"/>
    <mergeCell ref="M19:P19"/>
    <mergeCell ref="V19:W19"/>
    <mergeCell ref="A16:G16"/>
    <mergeCell ref="I16:K16"/>
    <mergeCell ref="M16:P16"/>
    <mergeCell ref="V16:W16"/>
    <mergeCell ref="A17:G17"/>
    <mergeCell ref="I17:K17"/>
    <mergeCell ref="M17:P17"/>
    <mergeCell ref="V17:W17"/>
    <mergeCell ref="A14:G14"/>
    <mergeCell ref="I14:K14"/>
    <mergeCell ref="M14:P14"/>
    <mergeCell ref="V14:W14"/>
    <mergeCell ref="A15:G15"/>
    <mergeCell ref="I15:K15"/>
    <mergeCell ref="M15:P15"/>
    <mergeCell ref="V15:W15"/>
    <mergeCell ref="A12:G12"/>
    <mergeCell ref="I12:K12"/>
    <mergeCell ref="M12:P12"/>
    <mergeCell ref="V12:W12"/>
    <mergeCell ref="A13:G13"/>
    <mergeCell ref="I13:K13"/>
    <mergeCell ref="M13:P13"/>
    <mergeCell ref="V13:W13"/>
    <mergeCell ref="A10:G10"/>
    <mergeCell ref="I10:K10"/>
    <mergeCell ref="M10:P10"/>
    <mergeCell ref="V10:W10"/>
    <mergeCell ref="A11:G11"/>
    <mergeCell ref="I11:K11"/>
    <mergeCell ref="M11:P11"/>
    <mergeCell ref="V11:W11"/>
    <mergeCell ref="A8:G8"/>
    <mergeCell ref="I8:K8"/>
    <mergeCell ref="M8:P8"/>
    <mergeCell ref="V8:W8"/>
    <mergeCell ref="A9:G9"/>
    <mergeCell ref="I9:K9"/>
    <mergeCell ref="M9:P9"/>
    <mergeCell ref="V9:W9"/>
    <mergeCell ref="C5:D5"/>
    <mergeCell ref="F5:G5"/>
    <mergeCell ref="J5:K5"/>
    <mergeCell ref="N5:P5"/>
    <mergeCell ref="B6:Y6"/>
    <mergeCell ref="C7:D7"/>
    <mergeCell ref="F7:G7"/>
    <mergeCell ref="J7:K7"/>
    <mergeCell ref="N7:P7"/>
    <mergeCell ref="A3:E3"/>
    <mergeCell ref="F3:M3"/>
    <mergeCell ref="N3:V3"/>
    <mergeCell ref="W3:Y3"/>
    <mergeCell ref="A4:E4"/>
    <mergeCell ref="F4:M4"/>
    <mergeCell ref="N4:V4"/>
    <mergeCell ref="W4:Y4"/>
    <mergeCell ref="A1:E1"/>
    <mergeCell ref="F1:M1"/>
    <mergeCell ref="N1:V1"/>
    <mergeCell ref="W1:Y1"/>
    <mergeCell ref="A2:E2"/>
    <mergeCell ref="F2:M2"/>
    <mergeCell ref="N2:V2"/>
    <mergeCell ref="W2:Y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D11C-CB5D-4E76-955A-350BB2C075B7}">
  <sheetPr codeName="Sheet4">
    <tabColor rgb="FFFFFF00"/>
  </sheetPr>
  <dimension ref="A1:H160"/>
  <sheetViews>
    <sheetView topLeftCell="A2" workbookViewId="0">
      <selection activeCell="H1" sqref="H1"/>
    </sheetView>
  </sheetViews>
  <sheetFormatPr defaultRowHeight="14.4" x14ac:dyDescent="0.3"/>
  <cols>
    <col min="1" max="1" width="34.33203125" customWidth="1"/>
    <col min="2" max="2" width="14.33203125" bestFit="1" customWidth="1"/>
    <col min="3" max="3" width="13.33203125" bestFit="1" customWidth="1"/>
    <col min="4" max="4" width="16.33203125" bestFit="1" customWidth="1"/>
    <col min="6" max="6" width="28" bestFit="1" customWidth="1"/>
    <col min="8" max="8" width="48" bestFit="1" customWidth="1"/>
  </cols>
  <sheetData>
    <row r="1" spans="1:8" s="1" customFormat="1" ht="79.8" customHeight="1" x14ac:dyDescent="0.3">
      <c r="A1" s="4" t="s">
        <v>117</v>
      </c>
      <c r="B1" s="4" t="s">
        <v>112</v>
      </c>
      <c r="C1" s="7" t="s">
        <v>107</v>
      </c>
      <c r="D1" s="4" t="s">
        <v>100</v>
      </c>
      <c r="F1" s="1" t="s">
        <v>51</v>
      </c>
      <c r="H1" s="9" t="s">
        <v>328</v>
      </c>
    </row>
    <row r="2" spans="1:8" x14ac:dyDescent="0.3">
      <c r="A2" s="8"/>
      <c r="B2" s="8"/>
      <c r="C2" s="8"/>
      <c r="D2" s="8"/>
      <c r="F2" t="b">
        <f>IF(ISERROR(VLOOKUP(A2,Payee!A:A,1,FALSE)),FALSE,TRUE)</f>
        <v>0</v>
      </c>
    </row>
    <row r="3" spans="1:8" x14ac:dyDescent="0.3">
      <c r="A3" s="8"/>
      <c r="B3" s="8"/>
      <c r="C3" s="8"/>
      <c r="D3" s="8"/>
      <c r="F3" t="b">
        <f>IF(ISERROR(VLOOKUP(A3,Payee!A:A,1,FALSE)),FALSE,TRUE)</f>
        <v>0</v>
      </c>
    </row>
    <row r="4" spans="1:8" x14ac:dyDescent="0.3">
      <c r="A4" s="8"/>
      <c r="B4" s="8"/>
      <c r="C4" s="8"/>
      <c r="D4" s="8"/>
      <c r="F4" t="b">
        <f>IF(ISERROR(VLOOKUP(A4,Payee!A:A,1,FALSE)),FALSE,TRUE)</f>
        <v>0</v>
      </c>
    </row>
    <row r="5" spans="1:8" x14ac:dyDescent="0.3">
      <c r="A5" s="8"/>
      <c r="B5" s="8"/>
      <c r="C5" s="8"/>
      <c r="D5" s="8"/>
      <c r="F5" t="b">
        <f>IF(ISERROR(VLOOKUP(A5,Payee!A:A,1,FALSE)),FALSE,TRUE)</f>
        <v>0</v>
      </c>
    </row>
    <row r="6" spans="1:8" x14ac:dyDescent="0.3">
      <c r="A6" s="8"/>
      <c r="B6" s="8"/>
      <c r="C6" s="8"/>
      <c r="D6" s="8"/>
      <c r="F6" t="b">
        <f>IF(ISERROR(VLOOKUP(A6,Payee!A:A,1,FALSE)),FALSE,TRUE)</f>
        <v>0</v>
      </c>
    </row>
    <row r="7" spans="1:8" x14ac:dyDescent="0.3">
      <c r="A7" s="8"/>
      <c r="B7" s="8"/>
      <c r="C7" s="8"/>
      <c r="D7" s="8"/>
      <c r="F7" t="b">
        <f>IF(ISERROR(VLOOKUP(A7,Payee!A:A,1,FALSE)),FALSE,TRUE)</f>
        <v>0</v>
      </c>
    </row>
    <row r="8" spans="1:8" x14ac:dyDescent="0.3">
      <c r="A8" s="8"/>
      <c r="B8" s="8"/>
      <c r="C8" s="8"/>
      <c r="D8" s="8"/>
      <c r="F8" t="b">
        <f>IF(ISERROR(VLOOKUP(A8,Payee!A:A,1,FALSE)),FALSE,TRUE)</f>
        <v>0</v>
      </c>
    </row>
    <row r="9" spans="1:8" x14ac:dyDescent="0.3">
      <c r="A9" s="8"/>
      <c r="B9" s="8"/>
      <c r="C9" s="8"/>
      <c r="D9" s="8"/>
      <c r="F9" t="b">
        <f>IF(ISERROR(VLOOKUP(A9,Payee!A:A,1,FALSE)),FALSE,TRUE)</f>
        <v>0</v>
      </c>
    </row>
    <row r="10" spans="1:8" x14ac:dyDescent="0.3">
      <c r="A10" s="8"/>
      <c r="B10" s="8"/>
      <c r="C10" s="8"/>
      <c r="D10" s="8"/>
      <c r="F10" t="b">
        <f>IF(ISERROR(VLOOKUP(A10,Payee!A:A,1,FALSE)),FALSE,TRUE)</f>
        <v>0</v>
      </c>
    </row>
    <row r="11" spans="1:8" x14ac:dyDescent="0.3">
      <c r="A11" s="8"/>
      <c r="B11" s="8"/>
      <c r="C11" s="8"/>
      <c r="D11" s="8"/>
      <c r="F11" t="b">
        <f>IF(ISERROR(VLOOKUP(A11,Payee!A:A,1,FALSE)),FALSE,TRUE)</f>
        <v>0</v>
      </c>
    </row>
    <row r="12" spans="1:8" x14ac:dyDescent="0.3">
      <c r="A12" s="8"/>
      <c r="B12" s="8"/>
      <c r="C12" s="8"/>
      <c r="D12" s="8"/>
      <c r="F12" t="b">
        <f>IF(ISERROR(VLOOKUP(A12,Payee!A:A,1,FALSE)),FALSE,TRUE)</f>
        <v>0</v>
      </c>
    </row>
    <row r="13" spans="1:8" x14ac:dyDescent="0.3">
      <c r="A13" s="8"/>
      <c r="B13" s="8"/>
      <c r="C13" s="8"/>
      <c r="D13" s="8"/>
      <c r="F13" t="b">
        <f>IF(ISERROR(VLOOKUP(A13,Payee!A:A,1,FALSE)),FALSE,TRUE)</f>
        <v>0</v>
      </c>
    </row>
    <row r="14" spans="1:8" x14ac:dyDescent="0.3">
      <c r="A14" s="8"/>
      <c r="B14" s="8"/>
      <c r="C14" s="8"/>
      <c r="D14" s="8"/>
      <c r="F14" t="b">
        <f>IF(ISERROR(VLOOKUP(A14,Payee!A:A,1,FALSE)),FALSE,TRUE)</f>
        <v>0</v>
      </c>
    </row>
    <row r="15" spans="1:8" x14ac:dyDescent="0.3">
      <c r="A15" s="8"/>
      <c r="B15" s="8"/>
      <c r="C15" s="8"/>
      <c r="D15" s="8"/>
      <c r="F15" t="b">
        <f>IF(ISERROR(VLOOKUP(A15,Payee!A:A,1,FALSE)),FALSE,TRUE)</f>
        <v>0</v>
      </c>
    </row>
    <row r="16" spans="1:8" x14ac:dyDescent="0.3">
      <c r="A16" s="8"/>
      <c r="B16" s="8"/>
      <c r="C16" s="8"/>
      <c r="D16" s="8"/>
      <c r="F16" t="b">
        <f>IF(ISERROR(VLOOKUP(A16,Payee!A:A,1,FALSE)),FALSE,TRUE)</f>
        <v>0</v>
      </c>
    </row>
    <row r="17" spans="1:6" x14ac:dyDescent="0.3">
      <c r="A17" s="8"/>
      <c r="B17" s="8"/>
      <c r="C17" s="8"/>
      <c r="D17" s="8"/>
      <c r="F17" t="b">
        <f>IF(ISERROR(VLOOKUP(A17,Payee!A:A,1,FALSE)),FALSE,TRUE)</f>
        <v>0</v>
      </c>
    </row>
    <row r="18" spans="1:6" x14ac:dyDescent="0.3">
      <c r="A18" s="8"/>
      <c r="B18" s="8"/>
      <c r="C18" s="8"/>
      <c r="D18" s="8"/>
      <c r="F18" t="b">
        <f>IF(ISERROR(VLOOKUP(A18,Payee!A:A,1,FALSE)),FALSE,TRUE)</f>
        <v>0</v>
      </c>
    </row>
    <row r="19" spans="1:6" x14ac:dyDescent="0.3">
      <c r="A19" s="8"/>
      <c r="B19" s="8"/>
      <c r="C19" s="8"/>
      <c r="D19" s="8"/>
      <c r="F19" t="b">
        <f>IF(ISERROR(VLOOKUP(A19,Payee!A:A,1,FALSE)),FALSE,TRUE)</f>
        <v>0</v>
      </c>
    </row>
    <row r="20" spans="1:6" x14ac:dyDescent="0.3">
      <c r="A20" s="8"/>
      <c r="B20" s="8"/>
      <c r="C20" s="8"/>
      <c r="D20" s="8"/>
      <c r="F20" t="b">
        <f>IF(ISERROR(VLOOKUP(A20,Payee!A:A,1,FALSE)),FALSE,TRUE)</f>
        <v>0</v>
      </c>
    </row>
    <row r="21" spans="1:6" x14ac:dyDescent="0.3">
      <c r="A21" s="8"/>
      <c r="B21" s="8"/>
      <c r="C21" s="8"/>
      <c r="D21" s="8"/>
      <c r="F21" t="b">
        <f>IF(ISERROR(VLOOKUP(A21,Payee!A:A,1,FALSE)),FALSE,TRUE)</f>
        <v>0</v>
      </c>
    </row>
    <row r="22" spans="1:6" x14ac:dyDescent="0.3">
      <c r="A22" s="8"/>
      <c r="B22" s="8"/>
      <c r="C22" s="8"/>
      <c r="D22" s="8"/>
      <c r="F22" t="b">
        <f>IF(ISERROR(VLOOKUP(A22,Payee!A:A,1,FALSE)),FALSE,TRUE)</f>
        <v>0</v>
      </c>
    </row>
    <row r="23" spans="1:6" x14ac:dyDescent="0.3">
      <c r="A23" s="8"/>
      <c r="B23" s="8"/>
      <c r="C23" s="8"/>
      <c r="D23" s="8"/>
      <c r="F23" t="b">
        <f>IF(ISERROR(VLOOKUP(A23,Payee!A:A,1,FALSE)),FALSE,TRUE)</f>
        <v>0</v>
      </c>
    </row>
    <row r="24" spans="1:6" x14ac:dyDescent="0.3">
      <c r="A24" s="8"/>
      <c r="B24" s="8"/>
      <c r="C24" s="8"/>
      <c r="D24" s="8"/>
      <c r="F24" t="b">
        <f>IF(ISERROR(VLOOKUP(A24,Payee!A:A,1,FALSE)),FALSE,TRUE)</f>
        <v>0</v>
      </c>
    </row>
    <row r="25" spans="1:6" x14ac:dyDescent="0.3">
      <c r="A25" s="8"/>
      <c r="B25" s="8"/>
      <c r="C25" s="8"/>
      <c r="D25" s="8"/>
      <c r="F25" t="b">
        <f>IF(ISERROR(VLOOKUP(A25,Payee!A:A,1,FALSE)),FALSE,TRUE)</f>
        <v>0</v>
      </c>
    </row>
    <row r="26" spans="1:6" x14ac:dyDescent="0.3">
      <c r="A26" s="8"/>
      <c r="B26" s="8"/>
      <c r="C26" s="8"/>
      <c r="D26" s="8"/>
      <c r="F26" t="b">
        <f>IF(ISERROR(VLOOKUP(A26,Payee!A:A,1,FALSE)),FALSE,TRUE)</f>
        <v>0</v>
      </c>
    </row>
    <row r="27" spans="1:6" x14ac:dyDescent="0.3">
      <c r="A27" s="8"/>
      <c r="B27" s="8"/>
      <c r="C27" s="8"/>
      <c r="D27" s="8"/>
      <c r="F27" t="b">
        <f>IF(ISERROR(VLOOKUP(A27,Payee!A:A,1,FALSE)),FALSE,TRUE)</f>
        <v>0</v>
      </c>
    </row>
    <row r="28" spans="1:6" x14ac:dyDescent="0.3">
      <c r="A28" s="8"/>
      <c r="B28" s="8"/>
      <c r="C28" s="8"/>
      <c r="D28" s="8"/>
      <c r="F28" t="b">
        <f>IF(ISERROR(VLOOKUP(A28,Payee!A:A,1,FALSE)),FALSE,TRUE)</f>
        <v>0</v>
      </c>
    </row>
    <row r="29" spans="1:6" x14ac:dyDescent="0.3">
      <c r="A29" s="8"/>
      <c r="B29" s="8"/>
      <c r="C29" s="8"/>
      <c r="D29" s="8"/>
      <c r="F29" t="b">
        <f>IF(ISERROR(VLOOKUP(A29,Payee!A:A,1,FALSE)),FALSE,TRUE)</f>
        <v>0</v>
      </c>
    </row>
    <row r="30" spans="1:6" x14ac:dyDescent="0.3">
      <c r="A30" s="8"/>
      <c r="B30" s="8"/>
      <c r="C30" s="8"/>
      <c r="D30" s="8"/>
      <c r="F30" t="b">
        <f>IF(ISERROR(VLOOKUP(A30,Payee!A:A,1,FALSE)),FALSE,TRUE)</f>
        <v>0</v>
      </c>
    </row>
    <row r="31" spans="1:6" x14ac:dyDescent="0.3">
      <c r="A31" s="8"/>
      <c r="B31" s="8"/>
      <c r="C31" s="8"/>
      <c r="D31" s="8"/>
      <c r="F31" t="b">
        <f>IF(ISERROR(VLOOKUP(A31,Payee!A:A,1,FALSE)),FALSE,TRUE)</f>
        <v>0</v>
      </c>
    </row>
    <row r="32" spans="1:6" x14ac:dyDescent="0.3">
      <c r="A32" s="8"/>
      <c r="B32" s="8"/>
      <c r="C32" s="8"/>
      <c r="D32" s="8"/>
      <c r="F32" t="b">
        <f>IF(ISERROR(VLOOKUP(A32,Payee!A:A,1,FALSE)),FALSE,TRUE)</f>
        <v>0</v>
      </c>
    </row>
    <row r="33" spans="1:6" x14ac:dyDescent="0.3">
      <c r="A33" s="8"/>
      <c r="B33" s="8"/>
      <c r="C33" s="8"/>
      <c r="D33" s="8"/>
      <c r="F33" t="b">
        <f>IF(ISERROR(VLOOKUP(A33,Payee!A:A,1,FALSE)),FALSE,TRUE)</f>
        <v>0</v>
      </c>
    </row>
    <row r="34" spans="1:6" x14ac:dyDescent="0.3">
      <c r="A34" s="8"/>
      <c r="B34" s="8"/>
      <c r="C34" s="8"/>
      <c r="D34" s="8"/>
      <c r="F34" t="b">
        <f>IF(ISERROR(VLOOKUP(A34,Payee!A:A,1,FALSE)),FALSE,TRUE)</f>
        <v>0</v>
      </c>
    </row>
    <row r="35" spans="1:6" x14ac:dyDescent="0.3">
      <c r="A35" s="8"/>
      <c r="B35" s="8"/>
      <c r="C35" s="8"/>
      <c r="D35" s="8"/>
      <c r="F35" t="b">
        <f>IF(ISERROR(VLOOKUP(A35,Payee!A:A,1,FALSE)),FALSE,TRUE)</f>
        <v>0</v>
      </c>
    </row>
    <row r="36" spans="1:6" x14ac:dyDescent="0.3">
      <c r="A36" s="8"/>
      <c r="B36" s="8"/>
      <c r="C36" s="8"/>
      <c r="D36" s="8"/>
      <c r="F36" t="b">
        <f>IF(ISERROR(VLOOKUP(A36,Payee!A:A,1,FALSE)),FALSE,TRUE)</f>
        <v>0</v>
      </c>
    </row>
    <row r="37" spans="1:6" x14ac:dyDescent="0.3">
      <c r="A37" s="8"/>
      <c r="B37" s="8"/>
      <c r="C37" s="8"/>
      <c r="D37" s="8"/>
      <c r="F37" t="b">
        <f>IF(ISERROR(VLOOKUP(A37,Payee!A:A,1,FALSE)),FALSE,TRUE)</f>
        <v>0</v>
      </c>
    </row>
    <row r="38" spans="1:6" x14ac:dyDescent="0.3">
      <c r="A38" s="8"/>
      <c r="B38" s="8"/>
      <c r="C38" s="8"/>
      <c r="D38" s="8"/>
      <c r="F38" t="b">
        <f>IF(ISERROR(VLOOKUP(A38,Payee!A:A,1,FALSE)),FALSE,TRUE)</f>
        <v>0</v>
      </c>
    </row>
    <row r="39" spans="1:6" x14ac:dyDescent="0.3">
      <c r="A39" s="8"/>
      <c r="B39" s="8"/>
      <c r="C39" s="8"/>
      <c r="D39" s="8"/>
      <c r="F39" t="b">
        <f>IF(ISERROR(VLOOKUP(A39,Payee!A:A,1,FALSE)),FALSE,TRUE)</f>
        <v>0</v>
      </c>
    </row>
    <row r="40" spans="1:6" x14ac:dyDescent="0.3">
      <c r="A40" s="8"/>
      <c r="B40" s="8"/>
      <c r="C40" s="8"/>
      <c r="D40" s="8"/>
      <c r="F40" t="b">
        <f>IF(ISERROR(VLOOKUP(A40,Payee!A:A,1,FALSE)),FALSE,TRUE)</f>
        <v>0</v>
      </c>
    </row>
    <row r="41" spans="1:6" x14ac:dyDescent="0.3">
      <c r="A41" s="8"/>
      <c r="B41" s="8"/>
      <c r="C41" s="8"/>
      <c r="D41" s="8"/>
      <c r="F41" t="b">
        <f>IF(ISERROR(VLOOKUP(A41,Payee!A:A,1,FALSE)),FALSE,TRUE)</f>
        <v>0</v>
      </c>
    </row>
    <row r="42" spans="1:6" x14ac:dyDescent="0.3">
      <c r="A42" s="8"/>
      <c r="B42" s="8"/>
      <c r="C42" s="8"/>
      <c r="D42" s="8"/>
      <c r="F42" t="b">
        <f>IF(ISERROR(VLOOKUP(A42,Payee!A:A,1,FALSE)),FALSE,TRUE)</f>
        <v>0</v>
      </c>
    </row>
    <row r="43" spans="1:6" x14ac:dyDescent="0.3">
      <c r="A43" s="8"/>
      <c r="B43" s="8"/>
      <c r="C43" s="8"/>
      <c r="D43" s="8"/>
      <c r="F43" t="b">
        <f>IF(ISERROR(VLOOKUP(A43,Payee!A:A,1,FALSE)),FALSE,TRUE)</f>
        <v>0</v>
      </c>
    </row>
    <row r="44" spans="1:6" x14ac:dyDescent="0.3">
      <c r="A44" s="8"/>
      <c r="B44" s="8"/>
      <c r="C44" s="8"/>
      <c r="D44" s="8"/>
      <c r="F44" t="b">
        <f>IF(ISERROR(VLOOKUP(A44,Payee!A:A,1,FALSE)),FALSE,TRUE)</f>
        <v>0</v>
      </c>
    </row>
    <row r="45" spans="1:6" x14ac:dyDescent="0.3">
      <c r="A45" s="8"/>
      <c r="B45" s="8"/>
      <c r="C45" s="8"/>
      <c r="D45" s="8"/>
      <c r="F45" t="b">
        <f>IF(ISERROR(VLOOKUP(A45,Payee!A:A,1,FALSE)),FALSE,TRUE)</f>
        <v>0</v>
      </c>
    </row>
    <row r="46" spans="1:6" x14ac:dyDescent="0.3">
      <c r="A46" s="8"/>
      <c r="B46" s="8"/>
      <c r="C46" s="8"/>
      <c r="D46" s="8"/>
      <c r="F46" t="b">
        <f>IF(ISERROR(VLOOKUP(A46,Payee!A:A,1,FALSE)),FALSE,TRUE)</f>
        <v>0</v>
      </c>
    </row>
    <row r="47" spans="1:6" x14ac:dyDescent="0.3">
      <c r="A47" s="8"/>
      <c r="B47" s="8"/>
      <c r="C47" s="8"/>
      <c r="D47" s="8"/>
      <c r="F47" t="b">
        <f>IF(ISERROR(VLOOKUP(A47,Payee!A:A,1,FALSE)),FALSE,TRUE)</f>
        <v>0</v>
      </c>
    </row>
    <row r="48" spans="1:6" x14ac:dyDescent="0.3">
      <c r="A48" s="8"/>
      <c r="B48" s="8"/>
      <c r="C48" s="8"/>
      <c r="D48" s="8"/>
      <c r="F48" t="b">
        <f>IF(ISERROR(VLOOKUP(A48,Payee!A:A,1,FALSE)),FALSE,TRUE)</f>
        <v>0</v>
      </c>
    </row>
    <row r="49" spans="1:6" x14ac:dyDescent="0.3">
      <c r="A49" s="8"/>
      <c r="B49" s="8"/>
      <c r="C49" s="8"/>
      <c r="D49" s="8"/>
      <c r="F49" t="b">
        <f>IF(ISERROR(VLOOKUP(A49,Payee!A:A,1,FALSE)),FALSE,TRUE)</f>
        <v>0</v>
      </c>
    </row>
    <row r="50" spans="1:6" x14ac:dyDescent="0.3">
      <c r="A50" s="8"/>
      <c r="B50" s="8"/>
      <c r="C50" s="8"/>
      <c r="D50" s="8"/>
      <c r="F50" t="b">
        <f>IF(ISERROR(VLOOKUP(A50,Payee!A:A,1,FALSE)),FALSE,TRUE)</f>
        <v>0</v>
      </c>
    </row>
    <row r="51" spans="1:6" x14ac:dyDescent="0.3">
      <c r="A51" s="8"/>
      <c r="B51" s="8"/>
      <c r="C51" s="8"/>
      <c r="D51" s="8"/>
      <c r="F51" t="b">
        <f>IF(ISERROR(VLOOKUP(A51,Payee!A:A,1,FALSE)),FALSE,TRUE)</f>
        <v>0</v>
      </c>
    </row>
    <row r="52" spans="1:6" x14ac:dyDescent="0.3">
      <c r="A52" s="8"/>
      <c r="B52" s="8"/>
      <c r="C52" s="8"/>
      <c r="D52" s="8"/>
      <c r="F52" t="b">
        <f>IF(ISERROR(VLOOKUP(A52,Payee!A:A,1,FALSE)),FALSE,TRUE)</f>
        <v>0</v>
      </c>
    </row>
    <row r="53" spans="1:6" x14ac:dyDescent="0.3">
      <c r="A53" s="8"/>
      <c r="B53" s="8"/>
      <c r="C53" s="8"/>
      <c r="D53" s="8"/>
      <c r="F53" t="b">
        <f>IF(ISERROR(VLOOKUP(A53,Payee!A:A,1,FALSE)),FALSE,TRUE)</f>
        <v>0</v>
      </c>
    </row>
    <row r="54" spans="1:6" x14ac:dyDescent="0.3">
      <c r="A54" s="8"/>
      <c r="B54" s="8"/>
      <c r="C54" s="8"/>
      <c r="D54" s="8"/>
      <c r="F54" t="b">
        <f>IF(ISERROR(VLOOKUP(A54,Payee!A:A,1,FALSE)),FALSE,TRUE)</f>
        <v>0</v>
      </c>
    </row>
    <row r="55" spans="1:6" x14ac:dyDescent="0.3">
      <c r="A55" s="8"/>
      <c r="B55" s="8"/>
      <c r="C55" s="8"/>
      <c r="D55" s="8"/>
      <c r="F55" t="b">
        <f>IF(ISERROR(VLOOKUP(A55,Payee!A:A,1,FALSE)),FALSE,TRUE)</f>
        <v>0</v>
      </c>
    </row>
    <row r="56" spans="1:6" x14ac:dyDescent="0.3">
      <c r="A56" s="8"/>
      <c r="B56" s="8"/>
      <c r="C56" s="8"/>
      <c r="D56" s="8"/>
      <c r="F56" t="b">
        <f>IF(ISERROR(VLOOKUP(A56,Payee!A:A,1,FALSE)),FALSE,TRUE)</f>
        <v>0</v>
      </c>
    </row>
    <row r="57" spans="1:6" x14ac:dyDescent="0.3">
      <c r="A57" s="8"/>
      <c r="B57" s="8"/>
      <c r="C57" s="8"/>
      <c r="D57" s="8"/>
      <c r="F57" t="b">
        <f>IF(ISERROR(VLOOKUP(A57,Payee!A:A,1,FALSE)),FALSE,TRUE)</f>
        <v>0</v>
      </c>
    </row>
    <row r="58" spans="1:6" x14ac:dyDescent="0.3">
      <c r="A58" s="8"/>
      <c r="B58" s="8"/>
      <c r="C58" s="8"/>
      <c r="D58" s="8"/>
      <c r="F58" t="b">
        <f>IF(ISERROR(VLOOKUP(A58,Payee!A:A,1,FALSE)),FALSE,TRUE)</f>
        <v>0</v>
      </c>
    </row>
    <row r="59" spans="1:6" x14ac:dyDescent="0.3">
      <c r="A59" s="8"/>
      <c r="B59" s="8"/>
      <c r="C59" s="8"/>
      <c r="D59" s="8"/>
      <c r="F59" t="b">
        <f>IF(ISERROR(VLOOKUP(A59,Payee!A:A,1,FALSE)),FALSE,TRUE)</f>
        <v>0</v>
      </c>
    </row>
    <row r="60" spans="1:6" x14ac:dyDescent="0.3">
      <c r="A60" s="8"/>
      <c r="B60" s="8"/>
      <c r="C60" s="8"/>
      <c r="D60" s="8"/>
      <c r="F60" t="b">
        <f>IF(ISERROR(VLOOKUP(A60,Payee!A:A,1,FALSE)),FALSE,TRUE)</f>
        <v>0</v>
      </c>
    </row>
    <row r="61" spans="1:6" x14ac:dyDescent="0.3">
      <c r="A61" s="8"/>
      <c r="B61" s="8"/>
      <c r="C61" s="8"/>
      <c r="D61" s="8"/>
      <c r="F61" t="b">
        <f>IF(ISERROR(VLOOKUP(A61,Payee!A:A,1,FALSE)),FALSE,TRUE)</f>
        <v>0</v>
      </c>
    </row>
    <row r="62" spans="1:6" x14ac:dyDescent="0.3">
      <c r="A62" s="8"/>
      <c r="B62" s="8"/>
      <c r="C62" s="8"/>
      <c r="D62" s="8"/>
      <c r="F62" t="b">
        <f>IF(ISERROR(VLOOKUP(A62,Payee!A:A,1,FALSE)),FALSE,TRUE)</f>
        <v>0</v>
      </c>
    </row>
    <row r="63" spans="1:6" x14ac:dyDescent="0.3">
      <c r="A63" s="8"/>
      <c r="B63" s="8"/>
      <c r="C63" s="8"/>
      <c r="D63" s="8"/>
      <c r="F63" t="b">
        <f>IF(ISERROR(VLOOKUP(A63,Payee!A:A,1,FALSE)),FALSE,TRUE)</f>
        <v>0</v>
      </c>
    </row>
    <row r="64" spans="1:6" x14ac:dyDescent="0.3">
      <c r="A64" s="8"/>
      <c r="B64" s="8"/>
      <c r="C64" s="8"/>
      <c r="D64" s="8"/>
      <c r="F64" t="b">
        <f>IF(ISERROR(VLOOKUP(A64,Payee!A:A,1,FALSE)),FALSE,TRUE)</f>
        <v>0</v>
      </c>
    </row>
    <row r="65" spans="1:6" x14ac:dyDescent="0.3">
      <c r="A65" s="8"/>
      <c r="B65" s="8"/>
      <c r="C65" s="8"/>
      <c r="D65" s="8"/>
      <c r="F65" t="b">
        <f>IF(ISERROR(VLOOKUP(A65,Payee!A:A,1,FALSE)),FALSE,TRUE)</f>
        <v>0</v>
      </c>
    </row>
    <row r="66" spans="1:6" x14ac:dyDescent="0.3">
      <c r="A66" s="8"/>
      <c r="B66" s="8"/>
      <c r="C66" s="8"/>
      <c r="D66" s="8"/>
      <c r="F66" t="b">
        <f>IF(ISERROR(VLOOKUP(A66,Payee!A:A,1,FALSE)),FALSE,TRUE)</f>
        <v>0</v>
      </c>
    </row>
    <row r="67" spans="1:6" x14ac:dyDescent="0.3">
      <c r="A67" s="8"/>
      <c r="B67" s="8"/>
      <c r="C67" s="8"/>
      <c r="D67" s="8"/>
      <c r="F67" t="b">
        <f>IF(ISERROR(VLOOKUP(A67,Payee!A:A,1,FALSE)),FALSE,TRUE)</f>
        <v>0</v>
      </c>
    </row>
    <row r="68" spans="1:6" x14ac:dyDescent="0.3">
      <c r="A68" s="8"/>
      <c r="B68" s="8"/>
      <c r="C68" s="8"/>
      <c r="D68" s="8"/>
      <c r="F68" t="b">
        <f>IF(ISERROR(VLOOKUP(A68,Payee!A:A,1,FALSE)),FALSE,TRUE)</f>
        <v>0</v>
      </c>
    </row>
    <row r="69" spans="1:6" x14ac:dyDescent="0.3">
      <c r="A69" s="8"/>
      <c r="B69" s="8"/>
      <c r="C69" s="8"/>
      <c r="D69" s="8"/>
      <c r="F69" t="b">
        <f>IF(ISERROR(VLOOKUP(A69,Payee!A:A,1,FALSE)),FALSE,TRUE)</f>
        <v>0</v>
      </c>
    </row>
    <row r="70" spans="1:6" x14ac:dyDescent="0.3">
      <c r="A70" s="8"/>
      <c r="B70" s="8"/>
      <c r="C70" s="8"/>
      <c r="D70" s="8"/>
      <c r="F70" t="b">
        <f>IF(ISERROR(VLOOKUP(A70,Payee!A:A,1,FALSE)),FALSE,TRUE)</f>
        <v>0</v>
      </c>
    </row>
    <row r="71" spans="1:6" x14ac:dyDescent="0.3">
      <c r="A71" s="8"/>
      <c r="B71" s="8"/>
      <c r="C71" s="8"/>
      <c r="D71" s="8"/>
      <c r="F71" t="b">
        <f>IF(ISERROR(VLOOKUP(A71,Payee!A:A,1,FALSE)),FALSE,TRUE)</f>
        <v>0</v>
      </c>
    </row>
    <row r="72" spans="1:6" x14ac:dyDescent="0.3">
      <c r="A72" s="8"/>
      <c r="B72" s="8"/>
      <c r="C72" s="8"/>
      <c r="D72" s="8"/>
      <c r="F72" t="b">
        <f>IF(ISERROR(VLOOKUP(A72,Payee!A:A,1,FALSE)),FALSE,TRUE)</f>
        <v>0</v>
      </c>
    </row>
    <row r="73" spans="1:6" x14ac:dyDescent="0.3">
      <c r="A73" s="8"/>
      <c r="B73" s="8"/>
      <c r="C73" s="8"/>
      <c r="D73" s="8"/>
      <c r="F73" t="b">
        <f>IF(ISERROR(VLOOKUP(A73,Payee!A:A,1,FALSE)),FALSE,TRUE)</f>
        <v>0</v>
      </c>
    </row>
    <row r="74" spans="1:6" x14ac:dyDescent="0.3">
      <c r="A74" s="8"/>
      <c r="B74" s="8"/>
      <c r="C74" s="8"/>
      <c r="D74" s="8"/>
      <c r="F74" t="b">
        <f>IF(ISERROR(VLOOKUP(A74,Payee!A:A,1,FALSE)),FALSE,TRUE)</f>
        <v>0</v>
      </c>
    </row>
    <row r="75" spans="1:6" x14ac:dyDescent="0.3">
      <c r="A75" s="8"/>
      <c r="B75" s="8"/>
      <c r="C75" s="8"/>
      <c r="D75" s="8"/>
      <c r="F75" t="b">
        <f>IF(ISERROR(VLOOKUP(A75,Payee!A:A,1,FALSE)),FALSE,TRUE)</f>
        <v>0</v>
      </c>
    </row>
    <row r="76" spans="1:6" x14ac:dyDescent="0.3">
      <c r="A76" s="8"/>
      <c r="B76" s="8"/>
      <c r="C76" s="8"/>
      <c r="D76" s="8"/>
      <c r="F76" t="b">
        <f>IF(ISERROR(VLOOKUP(A76,Payee!A:A,1,FALSE)),FALSE,TRUE)</f>
        <v>0</v>
      </c>
    </row>
    <row r="77" spans="1:6" x14ac:dyDescent="0.3">
      <c r="A77" s="8"/>
      <c r="B77" s="8"/>
      <c r="C77" s="8"/>
      <c r="D77" s="8"/>
      <c r="F77" t="b">
        <f>IF(ISERROR(VLOOKUP(A77,Payee!A:A,1,FALSE)),FALSE,TRUE)</f>
        <v>0</v>
      </c>
    </row>
    <row r="78" spans="1:6" x14ac:dyDescent="0.3">
      <c r="A78" s="8"/>
      <c r="B78" s="8"/>
      <c r="C78" s="8"/>
      <c r="D78" s="8"/>
      <c r="F78" t="b">
        <f>IF(ISERROR(VLOOKUP(A78,Payee!A:A,1,FALSE)),FALSE,TRUE)</f>
        <v>0</v>
      </c>
    </row>
    <row r="79" spans="1:6" x14ac:dyDescent="0.3">
      <c r="A79" s="8"/>
      <c r="B79" s="8"/>
      <c r="C79" s="8"/>
      <c r="D79" s="8"/>
      <c r="F79" t="b">
        <f>IF(ISERROR(VLOOKUP(A79,Payee!A:A,1,FALSE)),FALSE,TRUE)</f>
        <v>0</v>
      </c>
    </row>
    <row r="80" spans="1:6" x14ac:dyDescent="0.3">
      <c r="A80" s="8"/>
      <c r="B80" s="8"/>
      <c r="C80" s="8"/>
      <c r="D80" s="8"/>
      <c r="F80" t="b">
        <f>IF(ISERROR(VLOOKUP(A80,Payee!A:A,1,FALSE)),FALSE,TRUE)</f>
        <v>0</v>
      </c>
    </row>
    <row r="81" spans="1:6" x14ac:dyDescent="0.3">
      <c r="A81" s="8"/>
      <c r="B81" s="8"/>
      <c r="C81" s="8"/>
      <c r="D81" s="8"/>
      <c r="F81" t="b">
        <f>IF(ISERROR(VLOOKUP(A81,Payee!A:A,1,FALSE)),FALSE,TRUE)</f>
        <v>0</v>
      </c>
    </row>
    <row r="82" spans="1:6" x14ac:dyDescent="0.3">
      <c r="A82" s="8"/>
      <c r="B82" s="8"/>
      <c r="C82" s="8"/>
      <c r="D82" s="8"/>
      <c r="F82" t="b">
        <f>IF(ISERROR(VLOOKUP(A82,Payee!A:A,1,FALSE)),FALSE,TRUE)</f>
        <v>0</v>
      </c>
    </row>
    <row r="83" spans="1:6" x14ac:dyDescent="0.3">
      <c r="A83" s="8"/>
      <c r="B83" s="8"/>
      <c r="C83" s="8"/>
      <c r="D83" s="8"/>
      <c r="F83" t="b">
        <f>IF(ISERROR(VLOOKUP(A83,Payee!A:A,1,FALSE)),FALSE,TRUE)</f>
        <v>0</v>
      </c>
    </row>
    <row r="84" spans="1:6" x14ac:dyDescent="0.3">
      <c r="A84" s="8"/>
      <c r="B84" s="8"/>
      <c r="C84" s="8"/>
      <c r="D84" s="8"/>
      <c r="F84" t="b">
        <f>IF(ISERROR(VLOOKUP(A84,Payee!A:A,1,FALSE)),FALSE,TRUE)</f>
        <v>0</v>
      </c>
    </row>
    <row r="85" spans="1:6" x14ac:dyDescent="0.3">
      <c r="A85" s="8"/>
      <c r="B85" s="8"/>
      <c r="C85" s="8"/>
      <c r="D85" s="8"/>
      <c r="F85" t="b">
        <f>IF(ISERROR(VLOOKUP(A85,Payee!A:A,1,FALSE)),FALSE,TRUE)</f>
        <v>0</v>
      </c>
    </row>
    <row r="86" spans="1:6" x14ac:dyDescent="0.3">
      <c r="A86" s="8"/>
      <c r="B86" s="8"/>
      <c r="C86" s="8"/>
      <c r="D86" s="8"/>
      <c r="F86" t="b">
        <f>IF(ISERROR(VLOOKUP(A86,Payee!A:A,1,FALSE)),FALSE,TRUE)</f>
        <v>0</v>
      </c>
    </row>
    <row r="87" spans="1:6" x14ac:dyDescent="0.3">
      <c r="A87" s="8"/>
      <c r="B87" s="8"/>
      <c r="C87" s="8"/>
      <c r="D87" s="8"/>
      <c r="F87" t="b">
        <f>IF(ISERROR(VLOOKUP(A87,Payee!A:A,1,FALSE)),FALSE,TRUE)</f>
        <v>0</v>
      </c>
    </row>
    <row r="88" spans="1:6" x14ac:dyDescent="0.3">
      <c r="A88" s="8"/>
      <c r="B88" s="8"/>
      <c r="C88" s="8"/>
      <c r="D88" s="8"/>
      <c r="F88" t="b">
        <f>IF(ISERROR(VLOOKUP(A88,Payee!A:A,1,FALSE)),FALSE,TRUE)</f>
        <v>0</v>
      </c>
    </row>
    <row r="89" spans="1:6" x14ac:dyDescent="0.3">
      <c r="A89" s="8"/>
      <c r="B89" s="8"/>
      <c r="C89" s="8"/>
      <c r="D89" s="8"/>
      <c r="F89" t="b">
        <f>IF(ISERROR(VLOOKUP(A89,Payee!A:A,1,FALSE)),FALSE,TRUE)</f>
        <v>0</v>
      </c>
    </row>
    <row r="90" spans="1:6" x14ac:dyDescent="0.3">
      <c r="A90" s="8"/>
      <c r="B90" s="8"/>
      <c r="C90" s="8"/>
      <c r="D90" s="8"/>
      <c r="F90" t="b">
        <f>IF(ISERROR(VLOOKUP(A90,Payee!A:A,1,FALSE)),FALSE,TRUE)</f>
        <v>0</v>
      </c>
    </row>
    <row r="91" spans="1:6" x14ac:dyDescent="0.3">
      <c r="A91" s="8"/>
      <c r="B91" s="8"/>
      <c r="C91" s="8"/>
      <c r="D91" s="8"/>
      <c r="F91" t="b">
        <f>IF(ISERROR(VLOOKUP(A91,Payee!A:A,1,FALSE)),FALSE,TRUE)</f>
        <v>0</v>
      </c>
    </row>
    <row r="92" spans="1:6" x14ac:dyDescent="0.3">
      <c r="A92" s="8"/>
      <c r="B92" s="8"/>
      <c r="C92" s="8"/>
      <c r="D92" s="8"/>
      <c r="F92" t="b">
        <f>IF(ISERROR(VLOOKUP(A92,Payee!A:A,1,FALSE)),FALSE,TRUE)</f>
        <v>0</v>
      </c>
    </row>
    <row r="93" spans="1:6" x14ac:dyDescent="0.3">
      <c r="A93" s="8"/>
      <c r="B93" s="8"/>
      <c r="C93" s="8"/>
      <c r="D93" s="8"/>
      <c r="F93" t="b">
        <f>IF(ISERROR(VLOOKUP(A93,Payee!A:A,1,FALSE)),FALSE,TRUE)</f>
        <v>0</v>
      </c>
    </row>
    <row r="94" spans="1:6" x14ac:dyDescent="0.3">
      <c r="A94" s="8"/>
      <c r="B94" s="8"/>
      <c r="C94" s="8"/>
      <c r="D94" s="8"/>
      <c r="F94" t="b">
        <f>IF(ISERROR(VLOOKUP(A94,Payee!A:A,1,FALSE)),FALSE,TRUE)</f>
        <v>0</v>
      </c>
    </row>
    <row r="95" spans="1:6" x14ac:dyDescent="0.3">
      <c r="A95" s="8"/>
      <c r="B95" s="8"/>
      <c r="C95" s="8"/>
      <c r="D95" s="8"/>
      <c r="F95" t="b">
        <f>IF(ISERROR(VLOOKUP(A95,Payee!A:A,1,FALSE)),FALSE,TRUE)</f>
        <v>0</v>
      </c>
    </row>
    <row r="96" spans="1:6" x14ac:dyDescent="0.3">
      <c r="A96" s="8"/>
      <c r="B96" s="8"/>
      <c r="C96" s="8"/>
      <c r="D96" s="8"/>
      <c r="F96" t="b">
        <f>IF(ISERROR(VLOOKUP(A96,Payee!A:A,1,FALSE)),FALSE,TRUE)</f>
        <v>0</v>
      </c>
    </row>
    <row r="97" spans="1:6" x14ac:dyDescent="0.3">
      <c r="A97" s="8"/>
      <c r="B97" s="8"/>
      <c r="C97" s="8"/>
      <c r="D97" s="8"/>
      <c r="F97" t="b">
        <f>IF(ISERROR(VLOOKUP(A97,Payee!A:A,1,FALSE)),FALSE,TRUE)</f>
        <v>0</v>
      </c>
    </row>
    <row r="98" spans="1:6" x14ac:dyDescent="0.3">
      <c r="A98" s="8"/>
      <c r="B98" s="8"/>
      <c r="C98" s="8"/>
      <c r="D98" s="8"/>
      <c r="F98" t="b">
        <f>IF(ISERROR(VLOOKUP(A98,Payee!A:A,1,FALSE)),FALSE,TRUE)</f>
        <v>0</v>
      </c>
    </row>
    <row r="99" spans="1:6" x14ac:dyDescent="0.3">
      <c r="A99" s="8"/>
      <c r="B99" s="8"/>
      <c r="C99" s="8"/>
      <c r="D99" s="8"/>
      <c r="F99" t="b">
        <f>IF(ISERROR(VLOOKUP(A99,Payee!A:A,1,FALSE)),FALSE,TRUE)</f>
        <v>0</v>
      </c>
    </row>
    <row r="100" spans="1:6" x14ac:dyDescent="0.3">
      <c r="A100" s="8"/>
      <c r="B100" s="8"/>
      <c r="C100" s="8"/>
      <c r="D100" s="8"/>
      <c r="F100" t="b">
        <f>IF(ISERROR(VLOOKUP(A100,Payee!A:A,1,FALSE)),FALSE,TRUE)</f>
        <v>0</v>
      </c>
    </row>
    <row r="101" spans="1:6" x14ac:dyDescent="0.3">
      <c r="A101" s="8"/>
      <c r="B101" s="8"/>
      <c r="C101" s="8"/>
      <c r="D101" s="8"/>
      <c r="F101" t="b">
        <f>IF(ISERROR(VLOOKUP(A101,Payee!A:A,1,FALSE)),FALSE,TRUE)</f>
        <v>0</v>
      </c>
    </row>
    <row r="102" spans="1:6" x14ac:dyDescent="0.3">
      <c r="A102" s="8"/>
      <c r="B102" s="8"/>
      <c r="C102" s="8"/>
      <c r="D102" s="8"/>
      <c r="F102" t="b">
        <f>IF(ISERROR(VLOOKUP(A102,Payee!A:A,1,FALSE)),FALSE,TRUE)</f>
        <v>0</v>
      </c>
    </row>
    <row r="103" spans="1:6" x14ac:dyDescent="0.3">
      <c r="A103" s="8"/>
      <c r="B103" s="8"/>
      <c r="C103" s="8"/>
      <c r="D103" s="8"/>
      <c r="F103" t="b">
        <f>IF(ISERROR(VLOOKUP(A103,Payee!A:A,1,FALSE)),FALSE,TRUE)</f>
        <v>0</v>
      </c>
    </row>
    <row r="104" spans="1:6" x14ac:dyDescent="0.3">
      <c r="A104" s="8"/>
      <c r="B104" s="8"/>
      <c r="C104" s="8"/>
      <c r="D104" s="8"/>
      <c r="F104" t="b">
        <f>IF(ISERROR(VLOOKUP(A104,Payee!A:A,1,FALSE)),FALSE,TRUE)</f>
        <v>0</v>
      </c>
    </row>
    <row r="105" spans="1:6" x14ac:dyDescent="0.3">
      <c r="A105" s="8"/>
      <c r="B105" s="8"/>
      <c r="C105" s="8"/>
      <c r="D105" s="8"/>
      <c r="F105" t="b">
        <f>IF(ISERROR(VLOOKUP(A105,Payee!A:A,1,FALSE)),FALSE,TRUE)</f>
        <v>0</v>
      </c>
    </row>
    <row r="106" spans="1:6" x14ac:dyDescent="0.3">
      <c r="A106" s="8"/>
      <c r="B106" s="8"/>
      <c r="C106" s="8"/>
      <c r="D106" s="8"/>
      <c r="F106" t="b">
        <f>IF(ISERROR(VLOOKUP(A106,Payee!A:A,1,FALSE)),FALSE,TRUE)</f>
        <v>0</v>
      </c>
    </row>
    <row r="107" spans="1:6" x14ac:dyDescent="0.3">
      <c r="A107" s="8"/>
      <c r="B107" s="8"/>
      <c r="C107" s="8"/>
      <c r="D107" s="8"/>
      <c r="F107" t="b">
        <f>IF(ISERROR(VLOOKUP(A107,Payee!A:A,1,FALSE)),FALSE,TRUE)</f>
        <v>0</v>
      </c>
    </row>
    <row r="108" spans="1:6" x14ac:dyDescent="0.3">
      <c r="A108" s="8"/>
      <c r="B108" s="8"/>
      <c r="C108" s="8"/>
      <c r="D108" s="8"/>
      <c r="F108" t="b">
        <f>IF(ISERROR(VLOOKUP(A108,Payee!A:A,1,FALSE)),FALSE,TRUE)</f>
        <v>0</v>
      </c>
    </row>
    <row r="109" spans="1:6" x14ac:dyDescent="0.3">
      <c r="A109" s="8"/>
      <c r="B109" s="8"/>
      <c r="C109" s="8"/>
      <c r="D109" s="8"/>
      <c r="F109" t="b">
        <f>IF(ISERROR(VLOOKUP(A109,Payee!A:A,1,FALSE)),FALSE,TRUE)</f>
        <v>0</v>
      </c>
    </row>
    <row r="110" spans="1:6" x14ac:dyDescent="0.3">
      <c r="A110" s="8"/>
      <c r="B110" s="8"/>
      <c r="C110" s="8"/>
      <c r="D110" s="8"/>
      <c r="F110" t="b">
        <f>IF(ISERROR(VLOOKUP(A110,Payee!A:A,1,FALSE)),FALSE,TRUE)</f>
        <v>0</v>
      </c>
    </row>
    <row r="111" spans="1:6" x14ac:dyDescent="0.3">
      <c r="A111" s="8"/>
      <c r="B111" s="8"/>
      <c r="C111" s="8"/>
      <c r="D111" s="8"/>
      <c r="F111" t="b">
        <f>IF(ISERROR(VLOOKUP(A111,Payee!A:A,1,FALSE)),FALSE,TRUE)</f>
        <v>0</v>
      </c>
    </row>
    <row r="112" spans="1:6" x14ac:dyDescent="0.3">
      <c r="F112" t="b">
        <f>IF(ISERROR(VLOOKUP(A112,Payee!A:A,1,FALSE)),FALSE,TRUE)</f>
        <v>0</v>
      </c>
    </row>
    <row r="113" spans="6:6" x14ac:dyDescent="0.3">
      <c r="F113" t="b">
        <f>IF(ISERROR(VLOOKUP(A113,Payee!A:A,1,FALSE)),FALSE,TRUE)</f>
        <v>0</v>
      </c>
    </row>
    <row r="114" spans="6:6" x14ac:dyDescent="0.3">
      <c r="F114" t="b">
        <f>IF(ISERROR(VLOOKUP(A114,Payee!A:A,1,FALSE)),FALSE,TRUE)</f>
        <v>0</v>
      </c>
    </row>
    <row r="115" spans="6:6" x14ac:dyDescent="0.3">
      <c r="F115" t="b">
        <f>IF(ISERROR(VLOOKUP(A115,Payee!A:A,1,FALSE)),FALSE,TRUE)</f>
        <v>0</v>
      </c>
    </row>
    <row r="116" spans="6:6" x14ac:dyDescent="0.3">
      <c r="F116" t="b">
        <f>IF(ISERROR(VLOOKUP(A116,Payee!A:A,1,FALSE)),FALSE,TRUE)</f>
        <v>0</v>
      </c>
    </row>
    <row r="117" spans="6:6" x14ac:dyDescent="0.3">
      <c r="F117" t="b">
        <f>IF(ISERROR(VLOOKUP(A117,Payee!A:A,1,FALSE)),FALSE,TRUE)</f>
        <v>0</v>
      </c>
    </row>
    <row r="118" spans="6:6" x14ac:dyDescent="0.3">
      <c r="F118" t="b">
        <f>IF(ISERROR(VLOOKUP(A118,Payee!A:A,1,FALSE)),FALSE,TRUE)</f>
        <v>0</v>
      </c>
    </row>
    <row r="119" spans="6:6" x14ac:dyDescent="0.3">
      <c r="F119" t="b">
        <f>IF(ISERROR(VLOOKUP(A119,Payee!A:A,1,FALSE)),FALSE,TRUE)</f>
        <v>0</v>
      </c>
    </row>
    <row r="120" spans="6:6" x14ac:dyDescent="0.3">
      <c r="F120" t="b">
        <f>IF(ISERROR(VLOOKUP(A120,Payee!A:A,1,FALSE)),FALSE,TRUE)</f>
        <v>0</v>
      </c>
    </row>
    <row r="121" spans="6:6" x14ac:dyDescent="0.3">
      <c r="F121" t="b">
        <f>IF(ISERROR(VLOOKUP(A121,Payee!A:A,1,FALSE)),FALSE,TRUE)</f>
        <v>0</v>
      </c>
    </row>
    <row r="122" spans="6:6" x14ac:dyDescent="0.3">
      <c r="F122" t="b">
        <f>IF(ISERROR(VLOOKUP(A122,Payee!A:A,1,FALSE)),FALSE,TRUE)</f>
        <v>0</v>
      </c>
    </row>
    <row r="123" spans="6:6" x14ac:dyDescent="0.3">
      <c r="F123" t="b">
        <f>IF(ISERROR(VLOOKUP(A123,Payee!A:A,1,FALSE)),FALSE,TRUE)</f>
        <v>0</v>
      </c>
    </row>
    <row r="124" spans="6:6" x14ac:dyDescent="0.3">
      <c r="F124" t="b">
        <f>IF(ISERROR(VLOOKUP(A124,Payee!A:A,1,FALSE)),FALSE,TRUE)</f>
        <v>0</v>
      </c>
    </row>
    <row r="125" spans="6:6" x14ac:dyDescent="0.3">
      <c r="F125" t="b">
        <f>IF(ISERROR(VLOOKUP(A125,Payee!A:A,1,FALSE)),FALSE,TRUE)</f>
        <v>0</v>
      </c>
    </row>
    <row r="126" spans="6:6" x14ac:dyDescent="0.3">
      <c r="F126" t="b">
        <f>IF(ISERROR(VLOOKUP(A126,Payee!A:A,1,FALSE)),FALSE,TRUE)</f>
        <v>0</v>
      </c>
    </row>
    <row r="127" spans="6:6" x14ac:dyDescent="0.3">
      <c r="F127" t="b">
        <f>IF(ISERROR(VLOOKUP(A127,Payee!A:A,1,FALSE)),FALSE,TRUE)</f>
        <v>0</v>
      </c>
    </row>
    <row r="128" spans="6:6" x14ac:dyDescent="0.3">
      <c r="F128" t="b">
        <f>IF(ISERROR(VLOOKUP(A128,Payee!A:A,1,FALSE)),FALSE,TRUE)</f>
        <v>0</v>
      </c>
    </row>
    <row r="129" spans="6:6" x14ac:dyDescent="0.3">
      <c r="F129" t="b">
        <f>IF(ISERROR(VLOOKUP(A129,Payee!A:A,1,FALSE)),FALSE,TRUE)</f>
        <v>0</v>
      </c>
    </row>
    <row r="130" spans="6:6" x14ac:dyDescent="0.3">
      <c r="F130" t="b">
        <f>IF(ISERROR(VLOOKUP(A130,Payee!A:A,1,FALSE)),FALSE,TRUE)</f>
        <v>0</v>
      </c>
    </row>
    <row r="131" spans="6:6" x14ac:dyDescent="0.3">
      <c r="F131" t="b">
        <f>IF(ISERROR(VLOOKUP(A131,Payee!A:A,1,FALSE)),FALSE,TRUE)</f>
        <v>0</v>
      </c>
    </row>
    <row r="132" spans="6:6" x14ac:dyDescent="0.3">
      <c r="F132" t="b">
        <f>IF(ISERROR(VLOOKUP(A132,Payee!A:A,1,FALSE)),FALSE,TRUE)</f>
        <v>0</v>
      </c>
    </row>
    <row r="133" spans="6:6" x14ac:dyDescent="0.3">
      <c r="F133" t="b">
        <f>IF(ISERROR(VLOOKUP(A133,Payee!A:A,1,FALSE)),FALSE,TRUE)</f>
        <v>0</v>
      </c>
    </row>
    <row r="134" spans="6:6" x14ac:dyDescent="0.3">
      <c r="F134" t="b">
        <f>IF(ISERROR(VLOOKUP(A134,Payee!A:A,1,FALSE)),FALSE,TRUE)</f>
        <v>0</v>
      </c>
    </row>
    <row r="135" spans="6:6" x14ac:dyDescent="0.3">
      <c r="F135" t="b">
        <f>IF(ISERROR(VLOOKUP(A135,Payee!A:A,1,FALSE)),FALSE,TRUE)</f>
        <v>0</v>
      </c>
    </row>
    <row r="136" spans="6:6" x14ac:dyDescent="0.3">
      <c r="F136" t="b">
        <f>IF(ISERROR(VLOOKUP(A136,Payee!A:A,1,FALSE)),FALSE,TRUE)</f>
        <v>0</v>
      </c>
    </row>
    <row r="137" spans="6:6" x14ac:dyDescent="0.3">
      <c r="F137" t="b">
        <f>IF(ISERROR(VLOOKUP(A137,Payee!A:A,1,FALSE)),FALSE,TRUE)</f>
        <v>0</v>
      </c>
    </row>
    <row r="138" spans="6:6" x14ac:dyDescent="0.3">
      <c r="F138" t="b">
        <f>IF(ISERROR(VLOOKUP(A138,Payee!A:A,1,FALSE)),FALSE,TRUE)</f>
        <v>0</v>
      </c>
    </row>
    <row r="139" spans="6:6" x14ac:dyDescent="0.3">
      <c r="F139" t="b">
        <f>IF(ISERROR(VLOOKUP(A139,Payee!A:A,1,FALSE)),FALSE,TRUE)</f>
        <v>0</v>
      </c>
    </row>
    <row r="140" spans="6:6" x14ac:dyDescent="0.3">
      <c r="F140" t="b">
        <f>IF(ISERROR(VLOOKUP(A140,Payee!A:A,1,FALSE)),FALSE,TRUE)</f>
        <v>0</v>
      </c>
    </row>
    <row r="141" spans="6:6" x14ac:dyDescent="0.3">
      <c r="F141" t="b">
        <f>IF(ISERROR(VLOOKUP(A141,Payee!A:A,1,FALSE)),FALSE,TRUE)</f>
        <v>0</v>
      </c>
    </row>
    <row r="142" spans="6:6" x14ac:dyDescent="0.3">
      <c r="F142" t="b">
        <f>IF(ISERROR(VLOOKUP(A142,Payee!A:A,1,FALSE)),FALSE,TRUE)</f>
        <v>0</v>
      </c>
    </row>
    <row r="143" spans="6:6" x14ac:dyDescent="0.3">
      <c r="F143" t="b">
        <f>IF(ISERROR(VLOOKUP(A143,Payee!A:A,1,FALSE)),FALSE,TRUE)</f>
        <v>0</v>
      </c>
    </row>
    <row r="144" spans="6:6" x14ac:dyDescent="0.3">
      <c r="F144" t="b">
        <f>IF(ISERROR(VLOOKUP(A144,Payee!A:A,1,FALSE)),FALSE,TRUE)</f>
        <v>0</v>
      </c>
    </row>
    <row r="145" spans="6:6" x14ac:dyDescent="0.3">
      <c r="F145" t="b">
        <f>IF(ISERROR(VLOOKUP(A145,Payee!A:A,1,FALSE)),FALSE,TRUE)</f>
        <v>0</v>
      </c>
    </row>
    <row r="146" spans="6:6" x14ac:dyDescent="0.3">
      <c r="F146" t="b">
        <f>IF(ISERROR(VLOOKUP(A146,Payee!A:A,1,FALSE)),FALSE,TRUE)</f>
        <v>0</v>
      </c>
    </row>
    <row r="147" spans="6:6" x14ac:dyDescent="0.3">
      <c r="F147" t="b">
        <f>IF(ISERROR(VLOOKUP(A147,Payee!A:A,1,FALSE)),FALSE,TRUE)</f>
        <v>0</v>
      </c>
    </row>
    <row r="148" spans="6:6" x14ac:dyDescent="0.3">
      <c r="F148" t="b">
        <f>IF(ISERROR(VLOOKUP(A148,Payee!A:A,1,FALSE)),FALSE,TRUE)</f>
        <v>0</v>
      </c>
    </row>
    <row r="149" spans="6:6" x14ac:dyDescent="0.3">
      <c r="F149" t="b">
        <f>IF(ISERROR(VLOOKUP(A149,Payee!A:A,1,FALSE)),FALSE,TRUE)</f>
        <v>0</v>
      </c>
    </row>
    <row r="150" spans="6:6" x14ac:dyDescent="0.3">
      <c r="F150" t="b">
        <f>IF(ISERROR(VLOOKUP(A150,Payee!A:A,1,FALSE)),FALSE,TRUE)</f>
        <v>0</v>
      </c>
    </row>
    <row r="151" spans="6:6" x14ac:dyDescent="0.3">
      <c r="F151" t="b">
        <f>IF(ISERROR(VLOOKUP(A151,Payee!A:A,1,FALSE)),FALSE,TRUE)</f>
        <v>0</v>
      </c>
    </row>
    <row r="152" spans="6:6" x14ac:dyDescent="0.3">
      <c r="F152" t="b">
        <f>IF(ISERROR(VLOOKUP(A152,Payee!A:A,1,FALSE)),FALSE,TRUE)</f>
        <v>0</v>
      </c>
    </row>
    <row r="153" spans="6:6" x14ac:dyDescent="0.3">
      <c r="F153" t="b">
        <f>IF(ISERROR(VLOOKUP(A153,Payee!A:A,1,FALSE)),FALSE,TRUE)</f>
        <v>0</v>
      </c>
    </row>
    <row r="154" spans="6:6" x14ac:dyDescent="0.3">
      <c r="F154" t="b">
        <f>IF(ISERROR(VLOOKUP(A154,Payee!A:A,1,FALSE)),FALSE,TRUE)</f>
        <v>0</v>
      </c>
    </row>
    <row r="155" spans="6:6" x14ac:dyDescent="0.3">
      <c r="F155" t="b">
        <f>IF(ISERROR(VLOOKUP(A155,Payee!A:A,1,FALSE)),FALSE,TRUE)</f>
        <v>0</v>
      </c>
    </row>
    <row r="156" spans="6:6" x14ac:dyDescent="0.3">
      <c r="F156" t="b">
        <f>IF(ISERROR(VLOOKUP(A156,Payee!A:A,1,FALSE)),FALSE,TRUE)</f>
        <v>0</v>
      </c>
    </row>
    <row r="157" spans="6:6" x14ac:dyDescent="0.3">
      <c r="F157" t="b">
        <f>IF(ISERROR(VLOOKUP(A157,Payee!A:A,1,FALSE)),FALSE,TRUE)</f>
        <v>0</v>
      </c>
    </row>
    <row r="158" spans="6:6" x14ac:dyDescent="0.3">
      <c r="F158" t="b">
        <f>IF(ISERROR(VLOOKUP(A158,Payee!A:A,1,FALSE)),FALSE,TRUE)</f>
        <v>0</v>
      </c>
    </row>
    <row r="159" spans="6:6" x14ac:dyDescent="0.3">
      <c r="F159" t="b">
        <f>IF(ISERROR(VLOOKUP(A159,Payee!A:A,1,FALSE)),FALSE,TRUE)</f>
        <v>0</v>
      </c>
    </row>
    <row r="160" spans="6:6" x14ac:dyDescent="0.3">
      <c r="F160" t="b">
        <f>IF(ISERROR(VLOOKUP(A160,Payee!A:A,1,FALSE)),FALSE,TRUE)</f>
        <v>0</v>
      </c>
    </row>
  </sheetData>
  <autoFilter ref="A1:D112" xr:uid="{63CED11C-CB5D-4E76-955A-350BB2C075B7}"/>
  <conditionalFormatting sqref="F2:F160">
    <cfRule type="cellIs" dxfId="2" priority="1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Automate">
                <anchor moveWithCells="1" sizeWithCells="1">
                  <from>
                    <xdr:col>0</xdr:col>
                    <xdr:colOff>198120</xdr:colOff>
                    <xdr:row>0</xdr:row>
                    <xdr:rowOff>114300</xdr:rowOff>
                  </from>
                  <to>
                    <xdr:col>0</xdr:col>
                    <xdr:colOff>1615440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AB3D-BF81-45BD-A787-C93B2D518C62}">
  <sheetPr codeName="Sheet5">
    <tabColor rgb="FFFFFF00"/>
  </sheetPr>
  <dimension ref="A1:H38"/>
  <sheetViews>
    <sheetView workbookViewId="0">
      <selection activeCell="H1" sqref="H1"/>
    </sheetView>
  </sheetViews>
  <sheetFormatPr defaultRowHeight="14.4" x14ac:dyDescent="0.3"/>
  <cols>
    <col min="1" max="1" width="42.109375" customWidth="1"/>
    <col min="2" max="2" width="12" bestFit="1" customWidth="1"/>
    <col min="3" max="3" width="11" bestFit="1" customWidth="1"/>
    <col min="4" max="4" width="14" bestFit="1" customWidth="1"/>
    <col min="6" max="6" width="28" bestFit="1" customWidth="1"/>
    <col min="8" max="8" width="48" bestFit="1" customWidth="1"/>
  </cols>
  <sheetData>
    <row r="1" spans="1:8" x14ac:dyDescent="0.3">
      <c r="A1" s="4" t="s">
        <v>117</v>
      </c>
      <c r="B1" s="4" t="s">
        <v>112</v>
      </c>
      <c r="C1" s="7" t="s">
        <v>107</v>
      </c>
      <c r="D1" s="4" t="s">
        <v>100</v>
      </c>
      <c r="F1" s="1" t="s">
        <v>51</v>
      </c>
      <c r="H1" s="9" t="s">
        <v>329</v>
      </c>
    </row>
    <row r="2" spans="1:8" x14ac:dyDescent="0.3">
      <c r="F2" t="b">
        <f>IF(ISERROR(VLOOKUP(A2,Payee!A:A,1,FALSE)),FALSE,TRUE)</f>
        <v>0</v>
      </c>
    </row>
    <row r="3" spans="1:8" x14ac:dyDescent="0.3">
      <c r="F3" t="b">
        <f>IF(ISERROR(VLOOKUP(A3,Payee!A:A,1,FALSE)),FALSE,TRUE)</f>
        <v>0</v>
      </c>
    </row>
    <row r="4" spans="1:8" x14ac:dyDescent="0.3">
      <c r="F4" t="b">
        <f>IF(ISERROR(VLOOKUP(A4,Payee!A:A,1,FALSE)),FALSE,TRUE)</f>
        <v>0</v>
      </c>
    </row>
    <row r="5" spans="1:8" x14ac:dyDescent="0.3">
      <c r="F5" t="b">
        <f>IF(ISERROR(VLOOKUP(A5,Payee!A:A,1,FALSE)),FALSE,TRUE)</f>
        <v>0</v>
      </c>
    </row>
    <row r="6" spans="1:8" x14ac:dyDescent="0.3">
      <c r="F6" t="b">
        <f>IF(ISERROR(VLOOKUP(A6,Payee!A:A,1,FALSE)),FALSE,TRUE)</f>
        <v>0</v>
      </c>
    </row>
    <row r="7" spans="1:8" x14ac:dyDescent="0.3">
      <c r="F7" t="b">
        <f>IF(ISERROR(VLOOKUP(A7,Payee!A:A,1,FALSE)),FALSE,TRUE)</f>
        <v>0</v>
      </c>
    </row>
    <row r="8" spans="1:8" x14ac:dyDescent="0.3">
      <c r="F8" t="b">
        <f>IF(ISERROR(VLOOKUP(A8,Payee!A:A,1,FALSE)),FALSE,TRUE)</f>
        <v>0</v>
      </c>
    </row>
    <row r="9" spans="1:8" x14ac:dyDescent="0.3">
      <c r="F9" t="b">
        <f>IF(ISERROR(VLOOKUP(A9,Payee!A:A,1,FALSE)),FALSE,TRUE)</f>
        <v>0</v>
      </c>
    </row>
    <row r="10" spans="1:8" x14ac:dyDescent="0.3">
      <c r="F10" t="b">
        <f>IF(ISERROR(VLOOKUP(A10,Payee!A:A,1,FALSE)),FALSE,TRUE)</f>
        <v>0</v>
      </c>
    </row>
    <row r="11" spans="1:8" x14ac:dyDescent="0.3">
      <c r="F11" t="b">
        <f>IF(ISERROR(VLOOKUP(A11,Payee!A:A,1,FALSE)),FALSE,TRUE)</f>
        <v>0</v>
      </c>
    </row>
    <row r="12" spans="1:8" x14ac:dyDescent="0.3">
      <c r="F12" t="b">
        <f>IF(ISERROR(VLOOKUP(A12,Payee!A:A,1,FALSE)),FALSE,TRUE)</f>
        <v>0</v>
      </c>
    </row>
    <row r="13" spans="1:8" x14ac:dyDescent="0.3">
      <c r="F13" t="b">
        <f>IF(ISERROR(VLOOKUP(A13,Payee!A:A,1,FALSE)),FALSE,TRUE)</f>
        <v>0</v>
      </c>
    </row>
    <row r="14" spans="1:8" x14ac:dyDescent="0.3">
      <c r="F14" t="b">
        <f>IF(ISERROR(VLOOKUP(A14,Payee!A:A,1,FALSE)),FALSE,TRUE)</f>
        <v>0</v>
      </c>
    </row>
    <row r="15" spans="1:8" x14ac:dyDescent="0.3">
      <c r="F15" t="b">
        <f>IF(ISERROR(VLOOKUP(A15,Payee!A:A,1,FALSE)),FALSE,TRUE)</f>
        <v>0</v>
      </c>
    </row>
    <row r="16" spans="1:8" x14ac:dyDescent="0.3">
      <c r="F16" t="b">
        <f>IF(ISERROR(VLOOKUP(A16,Payee!A:A,1,FALSE)),FALSE,TRUE)</f>
        <v>0</v>
      </c>
    </row>
    <row r="17" spans="6:6" x14ac:dyDescent="0.3">
      <c r="F17" t="b">
        <f>IF(ISERROR(VLOOKUP(A17,Payee!A:A,1,FALSE)),FALSE,TRUE)</f>
        <v>0</v>
      </c>
    </row>
    <row r="18" spans="6:6" x14ac:dyDescent="0.3">
      <c r="F18" t="b">
        <f>IF(ISERROR(VLOOKUP(A18,Payee!A:A,1,FALSE)),FALSE,TRUE)</f>
        <v>0</v>
      </c>
    </row>
    <row r="19" spans="6:6" x14ac:dyDescent="0.3">
      <c r="F19" t="b">
        <f>IF(ISERROR(VLOOKUP(A19,Payee!A:A,1,FALSE)),FALSE,TRUE)</f>
        <v>0</v>
      </c>
    </row>
    <row r="20" spans="6:6" x14ac:dyDescent="0.3">
      <c r="F20" t="b">
        <f>IF(ISERROR(VLOOKUP(A20,Payee!A:A,1,FALSE)),FALSE,TRUE)</f>
        <v>0</v>
      </c>
    </row>
    <row r="21" spans="6:6" x14ac:dyDescent="0.3">
      <c r="F21" t="b">
        <f>IF(ISERROR(VLOOKUP(A21,Payee!A:A,1,FALSE)),FALSE,TRUE)</f>
        <v>0</v>
      </c>
    </row>
    <row r="22" spans="6:6" x14ac:dyDescent="0.3">
      <c r="F22" t="b">
        <f>IF(ISERROR(VLOOKUP(A22,Payee!A:A,1,FALSE)),FALSE,TRUE)</f>
        <v>0</v>
      </c>
    </row>
    <row r="23" spans="6:6" x14ac:dyDescent="0.3">
      <c r="F23" t="b">
        <f>IF(ISERROR(VLOOKUP(A23,Payee!A:A,1,FALSE)),FALSE,TRUE)</f>
        <v>0</v>
      </c>
    </row>
    <row r="24" spans="6:6" x14ac:dyDescent="0.3">
      <c r="F24" t="b">
        <f>IF(ISERROR(VLOOKUP(A24,Payee!A:A,1,FALSE)),FALSE,TRUE)</f>
        <v>0</v>
      </c>
    </row>
    <row r="25" spans="6:6" x14ac:dyDescent="0.3">
      <c r="F25" t="b">
        <f>IF(ISERROR(VLOOKUP(A25,Payee!A:A,1,FALSE)),FALSE,TRUE)</f>
        <v>0</v>
      </c>
    </row>
    <row r="26" spans="6:6" x14ac:dyDescent="0.3">
      <c r="F26" t="b">
        <f>IF(ISERROR(VLOOKUP(A26,Payee!A:A,1,FALSE)),FALSE,TRUE)</f>
        <v>0</v>
      </c>
    </row>
    <row r="27" spans="6:6" x14ac:dyDescent="0.3">
      <c r="F27" t="b">
        <f>IF(ISERROR(VLOOKUP(A27,Payee!A:A,1,FALSE)),FALSE,TRUE)</f>
        <v>0</v>
      </c>
    </row>
    <row r="28" spans="6:6" x14ac:dyDescent="0.3">
      <c r="F28" t="b">
        <f>IF(ISERROR(VLOOKUP(A28,Payee!A:A,1,FALSE)),FALSE,TRUE)</f>
        <v>0</v>
      </c>
    </row>
    <row r="29" spans="6:6" x14ac:dyDescent="0.3">
      <c r="F29" t="b">
        <f>IF(ISERROR(VLOOKUP(A29,Payee!A:A,1,FALSE)),FALSE,TRUE)</f>
        <v>0</v>
      </c>
    </row>
    <row r="30" spans="6:6" x14ac:dyDescent="0.3">
      <c r="F30" t="b">
        <f>IF(ISERROR(VLOOKUP(A30,Payee!A:A,1,FALSE)),FALSE,TRUE)</f>
        <v>0</v>
      </c>
    </row>
    <row r="31" spans="6:6" x14ac:dyDescent="0.3">
      <c r="F31" t="b">
        <f>IF(ISERROR(VLOOKUP(A31,Payee!A:A,1,FALSE)),FALSE,TRUE)</f>
        <v>0</v>
      </c>
    </row>
    <row r="32" spans="6:6" x14ac:dyDescent="0.3">
      <c r="F32" t="b">
        <f>IF(ISERROR(VLOOKUP(A32,Payee!A:A,1,FALSE)),FALSE,TRUE)</f>
        <v>0</v>
      </c>
    </row>
    <row r="33" spans="6:6" x14ac:dyDescent="0.3">
      <c r="F33" t="b">
        <f>IF(ISERROR(VLOOKUP(A33,Payee!A:A,1,FALSE)),FALSE,TRUE)</f>
        <v>0</v>
      </c>
    </row>
    <row r="34" spans="6:6" x14ac:dyDescent="0.3">
      <c r="F34" t="b">
        <f>IF(ISERROR(VLOOKUP(A34,Payee!A:A,1,FALSE)),FALSE,TRUE)</f>
        <v>0</v>
      </c>
    </row>
    <row r="35" spans="6:6" x14ac:dyDescent="0.3">
      <c r="F35" t="b">
        <f>IF(ISERROR(VLOOKUP(A35,Payee!A:A,1,FALSE)),FALSE,TRUE)</f>
        <v>0</v>
      </c>
    </row>
    <row r="36" spans="6:6" x14ac:dyDescent="0.3">
      <c r="F36" t="b">
        <f>IF(ISERROR(VLOOKUP(A36,Payee!A:A,1,FALSE)),FALSE,TRUE)</f>
        <v>0</v>
      </c>
    </row>
    <row r="37" spans="6:6" x14ac:dyDescent="0.3">
      <c r="F37" t="b">
        <f>IF(ISERROR(VLOOKUP(A37,Payee!A:A,1,FALSE)),FALSE,TRUE)</f>
        <v>0</v>
      </c>
    </row>
    <row r="38" spans="6:6" x14ac:dyDescent="0.3">
      <c r="F38" t="b">
        <f>IF(ISERROR(VLOOKUP(A38,Payee!A:A,1,FALSE)),FALSE,TRUE)</f>
        <v>0</v>
      </c>
    </row>
  </sheetData>
  <conditionalFormatting sqref="F2:F38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59F3-F407-40C6-973E-A83C51177EA7}">
  <sheetPr codeName="Sheet6">
    <tabColor rgb="FFFFFF00"/>
  </sheetPr>
  <dimension ref="A1:H38"/>
  <sheetViews>
    <sheetView workbookViewId="0">
      <selection activeCell="C12" sqref="C12"/>
    </sheetView>
  </sheetViews>
  <sheetFormatPr defaultRowHeight="14.4" x14ac:dyDescent="0.3"/>
  <cols>
    <col min="1" max="1" width="44.5546875" customWidth="1"/>
    <col min="2" max="2" width="12" bestFit="1" customWidth="1"/>
    <col min="3" max="3" width="11" bestFit="1" customWidth="1"/>
    <col min="4" max="4" width="14" bestFit="1" customWidth="1"/>
    <col min="6" max="6" width="28" bestFit="1" customWidth="1"/>
    <col min="8" max="8" width="50" bestFit="1" customWidth="1"/>
  </cols>
  <sheetData>
    <row r="1" spans="1:8" x14ac:dyDescent="0.3">
      <c r="A1" s="4" t="s">
        <v>117</v>
      </c>
      <c r="B1" s="4" t="s">
        <v>112</v>
      </c>
      <c r="C1" s="7" t="s">
        <v>107</v>
      </c>
      <c r="D1" s="4" t="s">
        <v>100</v>
      </c>
      <c r="F1" s="1" t="s">
        <v>51</v>
      </c>
      <c r="H1" s="9" t="s">
        <v>330</v>
      </c>
    </row>
    <row r="2" spans="1:8" x14ac:dyDescent="0.3">
      <c r="F2" t="b">
        <f>IF(ISERROR(VLOOKUP(A2,Payee!A:A,1,FALSE)),FALSE,TRUE)</f>
        <v>0</v>
      </c>
    </row>
    <row r="3" spans="1:8" x14ac:dyDescent="0.3">
      <c r="F3" t="b">
        <f>IF(ISERROR(VLOOKUP(A3,Payee!A:A,1,FALSE)),FALSE,TRUE)</f>
        <v>0</v>
      </c>
    </row>
    <row r="4" spans="1:8" x14ac:dyDescent="0.3">
      <c r="F4" t="b">
        <f>IF(ISERROR(VLOOKUP(A4,Payee!A:A,1,FALSE)),FALSE,TRUE)</f>
        <v>0</v>
      </c>
    </row>
    <row r="5" spans="1:8" x14ac:dyDescent="0.3">
      <c r="F5" t="b">
        <f>IF(ISERROR(VLOOKUP(A5,Payee!A:A,1,FALSE)),FALSE,TRUE)</f>
        <v>0</v>
      </c>
    </row>
    <row r="6" spans="1:8" x14ac:dyDescent="0.3">
      <c r="F6" t="b">
        <f>IF(ISERROR(VLOOKUP(A6,Payee!A:A,1,FALSE)),FALSE,TRUE)</f>
        <v>0</v>
      </c>
    </row>
    <row r="7" spans="1:8" x14ac:dyDescent="0.3">
      <c r="F7" t="b">
        <f>IF(ISERROR(VLOOKUP(A7,Payee!A:A,1,FALSE)),FALSE,TRUE)</f>
        <v>0</v>
      </c>
    </row>
    <row r="8" spans="1:8" x14ac:dyDescent="0.3">
      <c r="F8" t="b">
        <f>IF(ISERROR(VLOOKUP(A8,Payee!A:A,1,FALSE)),FALSE,TRUE)</f>
        <v>0</v>
      </c>
    </row>
    <row r="9" spans="1:8" x14ac:dyDescent="0.3">
      <c r="F9" t="b">
        <f>IF(ISERROR(VLOOKUP(A9,Payee!A:A,1,FALSE)),FALSE,TRUE)</f>
        <v>0</v>
      </c>
    </row>
    <row r="10" spans="1:8" x14ac:dyDescent="0.3">
      <c r="F10" t="b">
        <f>IF(ISERROR(VLOOKUP(A10,Payee!A:A,1,FALSE)),FALSE,TRUE)</f>
        <v>0</v>
      </c>
    </row>
    <row r="11" spans="1:8" x14ac:dyDescent="0.3">
      <c r="F11" t="b">
        <f>IF(ISERROR(VLOOKUP(A11,Payee!A:A,1,FALSE)),FALSE,TRUE)</f>
        <v>0</v>
      </c>
    </row>
    <row r="12" spans="1:8" x14ac:dyDescent="0.3">
      <c r="F12" t="b">
        <f>IF(ISERROR(VLOOKUP(A12,Payee!A:A,1,FALSE)),FALSE,TRUE)</f>
        <v>0</v>
      </c>
    </row>
    <row r="13" spans="1:8" x14ac:dyDescent="0.3">
      <c r="F13" t="b">
        <f>IF(ISERROR(VLOOKUP(A13,Payee!A:A,1,FALSE)),FALSE,TRUE)</f>
        <v>0</v>
      </c>
    </row>
    <row r="14" spans="1:8" x14ac:dyDescent="0.3">
      <c r="F14" t="b">
        <f>IF(ISERROR(VLOOKUP(A14,Payee!A:A,1,FALSE)),FALSE,TRUE)</f>
        <v>0</v>
      </c>
    </row>
    <row r="15" spans="1:8" x14ac:dyDescent="0.3">
      <c r="F15" t="b">
        <f>IF(ISERROR(VLOOKUP(A15,Payee!A:A,1,FALSE)),FALSE,TRUE)</f>
        <v>0</v>
      </c>
    </row>
    <row r="16" spans="1:8" x14ac:dyDescent="0.3">
      <c r="F16" t="b">
        <f>IF(ISERROR(VLOOKUP(A16,Payee!A:A,1,FALSE)),FALSE,TRUE)</f>
        <v>0</v>
      </c>
    </row>
    <row r="17" spans="6:6" x14ac:dyDescent="0.3">
      <c r="F17" t="b">
        <f>IF(ISERROR(VLOOKUP(A17,Payee!A:A,1,FALSE)),FALSE,TRUE)</f>
        <v>0</v>
      </c>
    </row>
    <row r="18" spans="6:6" x14ac:dyDescent="0.3">
      <c r="F18" t="b">
        <f>IF(ISERROR(VLOOKUP(A18,Payee!A:A,1,FALSE)),FALSE,TRUE)</f>
        <v>0</v>
      </c>
    </row>
    <row r="19" spans="6:6" x14ac:dyDescent="0.3">
      <c r="F19" t="b">
        <f>IF(ISERROR(VLOOKUP(A19,Payee!A:A,1,FALSE)),FALSE,TRUE)</f>
        <v>0</v>
      </c>
    </row>
    <row r="20" spans="6:6" x14ac:dyDescent="0.3">
      <c r="F20" t="b">
        <f>IF(ISERROR(VLOOKUP(A20,Payee!A:A,1,FALSE)),FALSE,TRUE)</f>
        <v>0</v>
      </c>
    </row>
    <row r="21" spans="6:6" x14ac:dyDescent="0.3">
      <c r="F21" t="b">
        <f>IF(ISERROR(VLOOKUP(A21,Payee!A:A,1,FALSE)),FALSE,TRUE)</f>
        <v>0</v>
      </c>
    </row>
    <row r="22" spans="6:6" x14ac:dyDescent="0.3">
      <c r="F22" t="b">
        <f>IF(ISERROR(VLOOKUP(A22,Payee!A:A,1,FALSE)),FALSE,TRUE)</f>
        <v>0</v>
      </c>
    </row>
    <row r="23" spans="6:6" x14ac:dyDescent="0.3">
      <c r="F23" t="b">
        <f>IF(ISERROR(VLOOKUP(A23,Payee!A:A,1,FALSE)),FALSE,TRUE)</f>
        <v>0</v>
      </c>
    </row>
    <row r="24" spans="6:6" x14ac:dyDescent="0.3">
      <c r="F24" t="b">
        <f>IF(ISERROR(VLOOKUP(A24,Payee!A:A,1,FALSE)),FALSE,TRUE)</f>
        <v>0</v>
      </c>
    </row>
    <row r="25" spans="6:6" x14ac:dyDescent="0.3">
      <c r="F25" t="b">
        <f>IF(ISERROR(VLOOKUP(A25,Payee!A:A,1,FALSE)),FALSE,TRUE)</f>
        <v>0</v>
      </c>
    </row>
    <row r="26" spans="6:6" x14ac:dyDescent="0.3">
      <c r="F26" t="b">
        <f>IF(ISERROR(VLOOKUP(A26,Payee!A:A,1,FALSE)),FALSE,TRUE)</f>
        <v>0</v>
      </c>
    </row>
    <row r="27" spans="6:6" x14ac:dyDescent="0.3">
      <c r="F27" t="b">
        <f>IF(ISERROR(VLOOKUP(A27,Payee!A:A,1,FALSE)),FALSE,TRUE)</f>
        <v>0</v>
      </c>
    </row>
    <row r="28" spans="6:6" x14ac:dyDescent="0.3">
      <c r="F28" t="b">
        <f>IF(ISERROR(VLOOKUP(A28,Payee!A:A,1,FALSE)),FALSE,TRUE)</f>
        <v>0</v>
      </c>
    </row>
    <row r="29" spans="6:6" x14ac:dyDescent="0.3">
      <c r="F29" t="b">
        <f>IF(ISERROR(VLOOKUP(A29,Payee!A:A,1,FALSE)),FALSE,TRUE)</f>
        <v>0</v>
      </c>
    </row>
    <row r="30" spans="6:6" x14ac:dyDescent="0.3">
      <c r="F30" t="b">
        <f>IF(ISERROR(VLOOKUP(A30,Payee!A:A,1,FALSE)),FALSE,TRUE)</f>
        <v>0</v>
      </c>
    </row>
    <row r="31" spans="6:6" x14ac:dyDescent="0.3">
      <c r="F31" t="b">
        <f>IF(ISERROR(VLOOKUP(A31,Payee!A:A,1,FALSE)),FALSE,TRUE)</f>
        <v>0</v>
      </c>
    </row>
    <row r="32" spans="6:6" x14ac:dyDescent="0.3">
      <c r="F32" t="b">
        <f>IF(ISERROR(VLOOKUP(A32,Payee!A:A,1,FALSE)),FALSE,TRUE)</f>
        <v>0</v>
      </c>
    </row>
    <row r="33" spans="6:6" x14ac:dyDescent="0.3">
      <c r="F33" t="b">
        <f>IF(ISERROR(VLOOKUP(A33,Payee!A:A,1,FALSE)),FALSE,TRUE)</f>
        <v>0</v>
      </c>
    </row>
    <row r="34" spans="6:6" x14ac:dyDescent="0.3">
      <c r="F34" t="b">
        <f>IF(ISERROR(VLOOKUP(A34,Payee!A:A,1,FALSE)),FALSE,TRUE)</f>
        <v>0</v>
      </c>
    </row>
    <row r="35" spans="6:6" x14ac:dyDescent="0.3">
      <c r="F35" t="b">
        <f>IF(ISERROR(VLOOKUP(A35,Payee!A:A,1,FALSE)),FALSE,TRUE)</f>
        <v>0</v>
      </c>
    </row>
    <row r="36" spans="6:6" x14ac:dyDescent="0.3">
      <c r="F36" t="b">
        <f>IF(ISERROR(VLOOKUP(A36,Payee!A:A,1,FALSE)),FALSE,TRUE)</f>
        <v>0</v>
      </c>
    </row>
    <row r="37" spans="6:6" x14ac:dyDescent="0.3">
      <c r="F37" t="b">
        <f>IF(ISERROR(VLOOKUP(A37,Payee!A:A,1,FALSE)),FALSE,TRUE)</f>
        <v>0</v>
      </c>
    </row>
    <row r="38" spans="6:6" x14ac:dyDescent="0.3">
      <c r="F38" t="b">
        <f>IF(ISERROR(VLOOKUP(A38,Payee!A:A,1,FALSE)),FALSE,TRUE)</f>
        <v>0</v>
      </c>
    </row>
  </sheetData>
  <conditionalFormatting sqref="F2:F38">
    <cfRule type="cellIs" dxfId="0" priority="1" operator="equal">
      <formula>FALSE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40FE51-9B77-4E51-B88E-4994353730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Xero Contacts</vt:lpstr>
      <vt:lpstr>Payee</vt:lpstr>
      <vt:lpstr>Temp</vt:lpstr>
      <vt:lpstr>CPDF</vt:lpstr>
      <vt:lpstr>CDLOT</vt:lpstr>
      <vt:lpstr>CDLOT2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Morei Narag</dc:creator>
  <cp:lastModifiedBy>Edward Jon Arquiza</cp:lastModifiedBy>
  <dcterms:created xsi:type="dcterms:W3CDTF">2023-08-25T07:56:00Z</dcterms:created>
  <dcterms:modified xsi:type="dcterms:W3CDTF">2024-06-21T06:31:55Z</dcterms:modified>
</cp:coreProperties>
</file>